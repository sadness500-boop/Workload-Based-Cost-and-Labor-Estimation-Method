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6083" windowHeight="10854"/>
  </bookViews>
  <sheets>
    <sheet name="1. 표지" sheetId="1" r:id="rId1"/>
    <sheet name="2. 견적서" sheetId="2" r:id="rId2"/>
    <sheet name="3. 업무별 비용 배분" sheetId="10" r:id="rId4"/>
    <sheet name="4. 업무량 산출내역" sheetId="11" r:id="rId5"/>
    <sheet name="5. 산출내역서" sheetId="3" r:id="rId3"/>
    <sheet name="6. 부대비용" sheetId="6" r:id="rId6"/>
    <sheet name="_stec_data" sheetId="9" state="veryHidden" r:id="rId9"/>
  </sheets>
  <definedNames>
    <definedName name="_xlnm.Print_Area" localSheetId="0">'1. 표지'!$A$1:$J$56</definedName>
    <definedName name="_xlnm.Print_Area" localSheetId="4">'5. 산출내역서'!$A$1:$I$123</definedName>
    <definedName name="부대비용월계">'6. 부대비용'!$D$10</definedName>
  </definedNames>
  <calcPr calcId="152511" fullCalcOnLoad="1"/>
</workbook>
</file>

<file path=xl/sharedStrings.xml><?xml version="1.0" encoding="utf-8"?>
<sst xmlns="http://schemas.openxmlformats.org/spreadsheetml/2006/main" count="1113" uniqueCount="417">
  <si>
    <t>에스텍베스트</t>
  </si>
  <si>
    <t>에스티엠  보안용역 도급업무</t>
  </si>
  <si>
    <t>見   積   書</t>
  </si>
  <si>
    <t>2027년 용역 도급 견적서   ·   Q U O T A T I O N</t>
  </si>
  <si>
    <t>투입 인력 구성</t>
  </si>
  <si>
    <t>수   신</t>
  </si>
  <si>
    <t>에스티엠 貴中</t>
  </si>
  <si>
    <t>용 역 명</t>
  </si>
  <si>
    <t>보안용역 도급업무</t>
  </si>
  <si>
    <t>용역기간</t>
  </si>
  <si>
    <t>2027. 1. 1 ~ 2027. 12. 31 (12개월)</t>
  </si>
  <si>
    <t>견적금액</t>
  </si>
  <si>
    <t>전년 대비</t>
  </si>
  <si>
    <t>견적기준</t>
  </si>
  <si>
    <t>2027년 최저임금 10,700원 · 4대보험 법정요율</t>
  </si>
  <si>
    <t>견적 담당</t>
  </si>
  <si>
    <t>최민영</t>
  </si>
  <si>
    <t>2026년  10월</t>
  </si>
  <si>
    <r>
      <rPr>
        <b/>
        <sz val="14"/>
        <color rgb="FF1B2A86"/>
        <rFont val="맑은 고딕"/>
        <family val="3"/>
        <charset val="129"/>
      </rPr>
      <t>㈜에스텍베스트</t>
    </r>
  </si>
  <si>
    <t>부산시 부산진구 중앙대로 920, 2층(설비건설회관)  ·  경찰청 허가 제243호 / 위생관리 신고증 제139호</t>
  </si>
  <si>
    <t>견   적   서</t>
  </si>
  <si>
    <t>No. 261029-2703</t>
  </si>
  <si>
    <t>작성일 2026. 10. 29</t>
  </si>
  <si>
    <t>Q U O T A T I O N  ·  2027년 견적</t>
  </si>
  <si>
    <r>
      <rPr>
        <b/>
        <sz val="15"/>
        <rFont val="맑은 고딕"/>
        <family val="3"/>
        <charset val="129"/>
      </rPr>
      <t xml:space="preserve">에스티엠  </t>
    </r>
    <r>
      <rPr>
        <sz val="11"/>
        <color rgb="FF5D6784"/>
        <rFont val="맑은 고딕"/>
        <family val="3"/>
        <charset val="129"/>
      </rPr>
      <t>貴中</t>
    </r>
  </si>
  <si>
    <t>등록번호</t>
  </si>
  <si>
    <t>607-81-56605</t>
  </si>
  <si>
    <t>상 호</t>
  </si>
  <si>
    <t>㈜에스텍베스트</t>
  </si>
  <si>
    <t>대 표</t>
  </si>
  <si>
    <t>정규상  (인)</t>
  </si>
  <si>
    <t>주 소</t>
  </si>
  <si>
    <t>부산시 부산진구 중앙대로 920, 2층(설비건설회관)</t>
  </si>
  <si>
    <t>유효기간</t>
  </si>
  <si>
    <t>작성일로부터 1개월</t>
  </si>
  <si>
    <t>업 태</t>
  </si>
  <si>
    <t>서비스</t>
  </si>
  <si>
    <t>종 목</t>
  </si>
  <si>
    <t>경비용역,시설관리,위생관리</t>
  </si>
  <si>
    <t>사 업 장</t>
  </si>
  <si>
    <t>울산시 울주군 삼남읍 반구대로 163 에스티엠 보안실</t>
  </si>
  <si>
    <t>허가·신고</t>
  </si>
  <si>
    <t>경찰청 허가 제243호 / 위생관리 신고증 제139호</t>
  </si>
  <si>
    <t>귀사의 무궁한 발전을 기원하며, 아래와 같이 견적합니다.</t>
  </si>
  <si>
    <t>담 당</t>
  </si>
  <si>
    <t>에스텍베스트 · 최민영</t>
  </si>
  <si>
    <t>견적금액 · 월 (VAT 별도)</t>
  </si>
  <si>
    <t>■ 투입 인력 구성</t>
  </si>
  <si>
    <t>■ 견적 내역</t>
  </si>
  <si>
    <t>(단위: 명, 원 / VAT 별도)</t>
  </si>
  <si>
    <t>No</t>
  </si>
  <si>
    <t>직종</t>
  </si>
  <si>
    <t>직책</t>
  </si>
  <si>
    <t>근무지·직무</t>
  </si>
  <si>
    <t>운영형태</t>
  </si>
  <si>
    <t>인원</t>
  </si>
  <si>
    <t>2026년 단가</t>
  </si>
  <si>
    <t>2027년 단가</t>
  </si>
  <si>
    <t>월 합계</t>
  </si>
  <si>
    <t>인상액</t>
  </si>
  <si>
    <t>비고</t>
  </si>
  <si>
    <t>미화</t>
  </si>
  <si>
    <t>반장</t>
  </si>
  <si>
    <t>미화관리</t>
  </si>
  <si>
    <t>주간 고정 (9h)</t>
  </si>
  <si>
    <t>여미화원</t>
  </si>
  <si>
    <t>미화관리 · 조원</t>
  </si>
  <si>
    <t>부가가치세 (10%)</t>
  </si>
  <si>
    <t>월 총계 (VAT 포함)</t>
  </si>
  <si>
    <t>계약기간 총액 (VAT 별도 · 12개월)</t>
  </si>
  <si>
    <t>■ 견적 조건</t>
  </si>
  <si>
    <t>○ 견적 기준 : 2027년 최저임금(10,700원) 및 통상시급 적용</t>
  </si>
  <si>
    <t xml:space="preserve">    단, 매년 법정최저임금(4대보험 포함) 등 관계법령이 변경될 경우 그 즉시 변경된 내용에 따라 적용합니다.</t>
  </si>
  <si>
    <t>○ 납입 조건 : 전자세금계산서 발행(당월 20일 청구, 익월 5일 납입, 현금결제)</t>
  </si>
  <si>
    <t>○ 손해배상 : 총 2억원 (당사의 귀책사유로 인한 사고 발생시 손해배상 책임보험에 의거)</t>
  </si>
  <si>
    <t xml:space="preserve">    1) 대인배상 : 1인 2천만원 한도 총 1억원(1사고당), 2) 대물배상 : 1억원한도(사고당)</t>
  </si>
  <si>
    <t>○ 상기 금액은 피복, 장비, 복리후생 등 포함한 금액입니다.</t>
  </si>
  <si>
    <t>○ 업무 수행에 필요한 근무실, 휴게실, 청소용품(소모품 포함), 집기류, 통신, 식사는 고객사 제공조건</t>
  </si>
  <si>
    <t>㈜에스텍베스트
부산시 부산진구 중앙대로 920, 2층(설비건설회관)</t>
  </si>
  <si>
    <r>
      <rPr>
        <sz val="8"/>
        <color rgb="FF5D6784"/>
        <rFont val="맑은 고딕"/>
        <family val="3"/>
        <charset val="129"/>
      </rPr>
      <t xml:space="preserve">견적 담당
</t>
    </r>
    <r>
      <rPr>
        <b/>
        <sz val="11"/>
        <color rgb="FF1B2A86"/>
        <rFont val="맑은 고딕"/>
        <family val="3"/>
        <charset val="129"/>
      </rPr>
      <t xml:space="preserve">최민영
</t>
    </r>
    <r>
      <rPr>
        <sz val="8.5"/>
        <color rgb="FF5D6784"/>
        <rFont val="맑은 고딕"/>
        <family val="3"/>
        <charset val="129"/>
      </rPr>
      <t>에스텍베스트</t>
    </r>
  </si>
  <si>
    <t>2027년 에스티엠 산출내역서</t>
  </si>
  <si>
    <t>보안용역 도급업무 · 용역기간 2027. 1. 1 ~ 2027. 12. 31 · 단위: 원, VAT 별도 · 노란 칸 = 입력값(수정 시 자동 재계산) · 산출 기준은 인력별(열별)로 따로 적용</t>
  </si>
  <si>
    <t>구  분</t>
  </si>
  <si>
    <t>월간총액</t>
  </si>
  <si>
    <t>평균단가</t>
  </si>
  <si>
    <t>계약기간 계</t>
  </si>
  <si>
    <t>산출 근거 (수식)</t>
  </si>
  <si>
    <t>반장
미화관리</t>
  </si>
  <si>
    <t>여미화원
미화관리 · 조원</t>
  </si>
  <si>
    <t>주간 고정</t>
  </si>
  <si>
    <t>기초자료</t>
  </si>
  <si>
    <t>인원(명)</t>
  </si>
  <si>
    <t>입력값</t>
  </si>
  <si>
    <t/>
  </si>
  <si>
    <t>시급</t>
  </si>
  <si>
    <t>기본시간(주휴포함)</t>
  </si>
  <si>
    <t>연장근로시간 (실제)</t>
  </si>
  <si>
    <t>감시단속(1=승인)</t>
  </si>
  <si>
    <t>야간근로시간 (실제)</t>
  </si>
  <si>
    <t>공휴일근무(일/년)</t>
  </si>
  <si>
    <t>연차적치일수</t>
  </si>
  <si>
    <t>상여율(연, 기본급 대비)</t>
  </si>
  <si>
    <t>상여 기준(0=기본급,1=통상임금)</t>
  </si>
  <si>
    <t>상여 월정액(0이면 상여율)</t>
  </si>
  <si>
    <t>근로자의날 유급시간</t>
  </si>
  <si>
    <t>퇴직충당금(1=반영)</t>
  </si>
  <si>
    <t>국민연금 적용률</t>
  </si>
  <si>
    <t>4대보험 제외(0=식대,1=직책,2=직책+식대,3=없음)</t>
  </si>
  <si>
    <t>특수검진(1=적용)</t>
  </si>
  <si>
    <t>부대비용 배분제외(1=제외)</t>
  </si>
  <si>
    <t>연간 근무개월</t>
  </si>
  <si>
    <t>연장 환산시간 (가산 포함)</t>
  </si>
  <si>
    <t>연장근로시간 × 가산배율(감시단속 승인 시 감시단속 배율)</t>
  </si>
  <si>
    <t>야간가산 환산시간</t>
  </si>
  <si>
    <t>야간근로시간 × 야간 가산율</t>
  </si>
  <si>
    <t>공휴일 환산시간 (월)</t>
  </si>
  <si>
    <t>공휴일 일수 × 8h × 50% ÷ 12</t>
  </si>
  <si>
    <t>통상시급</t>
  </si>
  <si>
    <t>(기본급여+직책+조정+직무) ÷ 기본시간</t>
  </si>
  <si>
    <t>직접인건비</t>
  </si>
  <si>
    <t>기본급여</t>
  </si>
  <si>
    <t>ROUNDUP(시급 × 기본시간, -1)</t>
  </si>
  <si>
    <t>시간외 수당</t>
  </si>
  <si>
    <t>ROUNDUP(연장 환산시간 × 통상시급, -1)</t>
  </si>
  <si>
    <t>야간가산수당</t>
  </si>
  <si>
    <t>ROUNDUP(야간가산 환산시간 × 통상시급, -1)</t>
  </si>
  <si>
    <t>공휴일수당</t>
  </si>
  <si>
    <t>ROUNDUP(공휴일 환산시간 × 통상시급, -1)</t>
  </si>
  <si>
    <t>직무수당</t>
  </si>
  <si>
    <t>식대보조</t>
  </si>
  <si>
    <t>원본 항목명 · 식대(비과세)</t>
  </si>
  <si>
    <t>조정수당</t>
  </si>
  <si>
    <t>직책수당</t>
  </si>
  <si>
    <t>소  계</t>
  </si>
  <si>
    <t>기본급여 ~ 직책수당·기타수당 합계</t>
  </si>
  <si>
    <t>연차수당</t>
  </si>
  <si>
    <t>ROUNDUP(통상시급 × 연차1일시간 × 적치일수 ÷ 12, -1)</t>
  </si>
  <si>
    <t>근로자의날</t>
  </si>
  <si>
    <t>ROUNDUP(유급시간 ÷ 12 × 통상시급, -1)</t>
  </si>
  <si>
    <t>상여급</t>
  </si>
  <si>
    <t>월정액, 없으면 ROUNDUP(기본급(또는 통상임금) × 상여율 ÷ 12, -1)</t>
  </si>
  <si>
    <t>퇴직충담금</t>
  </si>
  <si>
    <t>ROUNDUP((소계+연차+근로자의날+상여금) ÷ 12, -1)</t>
  </si>
  <si>
    <t>직접비 계 ①</t>
  </si>
  <si>
    <t>소계 + 연차 + 근로자의날 + 상여금 + 퇴직충당금</t>
  </si>
  <si>
    <t>간접인건비</t>
  </si>
  <si>
    <t>건강보험료</t>
  </si>
  <si>
    <t>ROUNDUP((직접비 계 − 퇴직충당금 − 제외항목) × 건강보험요율, -1)</t>
  </si>
  <si>
    <t>노인장기요양보험</t>
  </si>
  <si>
    <t>ROUNDUP(건강보험료 × 장기요양요율, -1)</t>
  </si>
  <si>
    <t>국민연금</t>
  </si>
  <si>
    <t>ROUNDUP((직접비−퇴직−제외항목) × 국민연금요율 × 적용률, -1)</t>
  </si>
  <si>
    <t>고용보험료</t>
  </si>
  <si>
    <t>ROUNDUP((직접비−퇴직−제외항목) × 고용보험요율, -1)</t>
  </si>
  <si>
    <t>산재보험료</t>
  </si>
  <si>
    <t>ROUNDUP((직접비−퇴직−제외항목) × 산재보험요율, -1)</t>
  </si>
  <si>
    <t>임금채권부담금</t>
  </si>
  <si>
    <t>ROUNDUP((직접비−퇴직−제외항목) × 임금채권요율, -1)</t>
  </si>
  <si>
    <t>석면피해구제분담금</t>
  </si>
  <si>
    <t>ROUNDUP((직접비−퇴직−제외항목) × 석면요율, -1)</t>
  </si>
  <si>
    <t>특수검진</t>
  </si>
  <si>
    <t>ROUNDUP(연 검진비 ÷ 12, -1)</t>
  </si>
  <si>
    <t>장애인고용부담금</t>
  </si>
  <si>
    <t>의무고용률 × 부담기초액 × 반영률 (10원 절상 선택)</t>
  </si>
  <si>
    <t>간접비 계 ②</t>
  </si>
  <si>
    <t>건강보험 ~ 장애인부담금 합계</t>
  </si>
  <si>
    <t>노무비 계 (1)</t>
  </si>
  <si>
    <t>직접비 ① + 간접비 ②</t>
  </si>
  <si>
    <t>경비</t>
  </si>
  <si>
    <t>피복장구비</t>
  </si>
  <si>
    <t>직원선물대</t>
  </si>
  <si>
    <t>명절선물 ÷ 12 (10원 절상 선택)</t>
  </si>
  <si>
    <t>사업장운영비</t>
  </si>
  <si>
    <t>원본 항목명 · 직원회의비</t>
  </si>
  <si>
    <t>경조비</t>
  </si>
  <si>
    <t>대치근무비</t>
  </si>
  <si>
    <t>통상시급 × 기준시간 × 대치일수 ÷ 12</t>
  </si>
  <si>
    <t>주민세(사업소분)</t>
  </si>
  <si>
    <t>주민세 × 개소 ÷ 12 ÷ 총인원</t>
  </si>
  <si>
    <t>교육훈련비</t>
  </si>
  <si>
    <t>고정액 또는 노무비 × 교육훈련비율 (10원 절사 선택)</t>
  </si>
  <si>
    <t>위험부담금</t>
  </si>
  <si>
    <t>고정액 또는 노무비 × 위험부담율 (10원 절사 선택)</t>
  </si>
  <si>
    <t>청소용품비</t>
  </si>
  <si>
    <t>제비용 · 기타 · 월정액(인당, 입력값)</t>
  </si>
  <si>
    <t>부대비용 배분</t>
  </si>
  <si>
    <t>부대비용 월계 ÷ 배분 인원</t>
  </si>
  <si>
    <t>경비 계 (2)</t>
  </si>
  <si>
    <t>피복 ~ 부대비용 합계</t>
  </si>
  <si>
    <t>원가</t>
  </si>
  <si>
    <t>1. 직접원가</t>
  </si>
  <si>
    <t>노무비 (1) + 경비 (2)</t>
  </si>
  <si>
    <t>2. 일반관리비</t>
  </si>
  <si>
    <t>직접원가 × 일반관리비율</t>
  </si>
  <si>
    <t>3. 원가소계</t>
  </si>
  <si>
    <t>직접원가 + 일반관리비</t>
  </si>
  <si>
    <t>4. 기업이윤</t>
  </si>
  <si>
    <t>직접원가(또는 원가소계) × 이윤율</t>
  </si>
  <si>
    <t>5. 원가총계</t>
  </si>
  <si>
    <t>원가소계 + 기업이윤</t>
  </si>
  <si>
    <t>6. 견적금액(인당)</t>
  </si>
  <si>
    <t>원가총계 단수처리(개인별 산출기준)</t>
  </si>
  <si>
    <t>■ 산출 기준 (2027년 · 사업주 부담 · 인력별) — 노란 칸을 고치면 그 열(인력)의 산출내역만 다시 계산됩니다</t>
  </si>
  <si>
    <t>항목</t>
  </si>
  <si>
    <t>최저시급 (시간당) · 참고</t>
  </si>
  <si>
    <t>원 · 2027년 · 에스텍시스템 기준 · 법정 요율</t>
  </si>
  <si>
    <t>건강보험</t>
  </si>
  <si>
    <t>사업주분 · 에스텍시스템 기준 · 법정 요율</t>
  </si>
  <si>
    <t>노인장기요양 (건보료 대비)</t>
  </si>
  <si>
    <t>고용보험</t>
  </si>
  <si>
    <t>에스텍시스템 기준 · 실업급여 + 고용안정·직능(1,000인 이상 0.85%)</t>
  </si>
  <si>
    <t>산재보험</t>
  </si>
  <si>
    <t>에스텍시스템 기준 · 시설관리·사업지원 0.8% + 출퇴근재해</t>
  </si>
  <si>
    <t>0이면 미반영</t>
  </si>
  <si>
    <t>연장 가산배율 (일반)</t>
  </si>
  <si>
    <t>연장 환산시간 = 시간 × 배율</t>
  </si>
  <si>
    <t>연장 배율 (감시단속)</t>
  </si>
  <si>
    <t>야간 가산율</t>
  </si>
  <si>
    <t>야간 환산시간 = 시간 × 가산율</t>
  </si>
  <si>
    <t>연차 1일 시간</t>
  </si>
  <si>
    <t>특수건강검진 (연/인)</t>
  </si>
  <si>
    <t>장애인부담금 반영 (1=반영)</t>
  </si>
  <si>
    <t>장애인 의무고용률</t>
  </si>
  <si>
    <t>부담기초액</t>
  </si>
  <si>
    <t>부담금 반영률</t>
  </si>
  <si>
    <t>장애인부담금 10원 절상 (1=예)</t>
  </si>
  <si>
    <t>명절선물대 (연/인)</t>
  </si>
  <si>
    <t>선물대 10원 절상 (1=예)</t>
  </si>
  <si>
    <t>직원회의비 (월)</t>
  </si>
  <si>
    <t>원본 항목명: 사업장운영비</t>
  </si>
  <si>
    <t>경조비 (월)</t>
  </si>
  <si>
    <t>대치근무 기준시간</t>
  </si>
  <si>
    <t>대치근무 일수 (연)</t>
  </si>
  <si>
    <t>주민세 사업소분 (연)</t>
  </si>
  <si>
    <t>주민세 개소 수</t>
  </si>
  <si>
    <t>교육훈련비율 (노무비 대비)</t>
  </si>
  <si>
    <t>교육훈련비 고정액</t>
  </si>
  <si>
    <t>0이면 비율 적용</t>
  </si>
  <si>
    <t>교육훈련비 10원 절사 (1=예)</t>
  </si>
  <si>
    <t>위험부담율 (노무비 대비)</t>
  </si>
  <si>
    <t>위험부담금 고정액</t>
  </si>
  <si>
    <t>위험부담금 10원 절사 (1=예)</t>
  </si>
  <si>
    <t>일반관리비율</t>
  </si>
  <si>
    <t>일반관리비 10원 절상 (1=예)</t>
  </si>
  <si>
    <t>기업이윤율</t>
  </si>
  <si>
    <t>이윤 기준 (0=직접원가, 1=원가소계)</t>
  </si>
  <si>
    <t>견적금액 단수 (0=천원절사,1=천원절상,2=백원절사,3=원단위,4=천원반올림)</t>
  </si>
  <si>
    <t>■ 공통 기준 (전체 인력)</t>
  </si>
  <si>
    <t>총 인원</t>
  </si>
  <si>
    <t>인원 행 합계 (주민세 인당 배분)</t>
  </si>
  <si>
    <t>부대비용 인당 배분 (1=배분)</t>
  </si>
  <si>
    <t>0이면 별도 청구</t>
  </si>
  <si>
    <t>부대비용 월계</t>
  </si>
  <si>
    <t>‘부대비용’ 시트 합계와 연결</t>
  </si>
  <si>
    <t>배분 대상 인원</t>
  </si>
  <si>
    <t>㈜에스텍베스트   |   부산시 부산진구 중앙대로 920, 2층(설비건설회관)</t>
  </si>
  <si>
    <t>2026년 → 2027년 산출내역 비교표</t>
  </si>
  <si>
    <t>에스티엠 · 보안용역 도급업무 · 단위: 원, VAT 별도 · ▲ 증가 / ▼ 감소 · 원본: 산출내역서(2026) · 견적서·산출내역서(2027) 시트</t>
  </si>
  <si>
    <t>■ 도급비 총합계 비교  (2026년 월 22,214,000원 → 2027년 월 22,877,000원, VAT 별도)</t>
  </si>
  <si>
    <t>구분</t>
  </si>
  <si>
    <t>2026년</t>
  </si>
  <si>
    <t>2027년</t>
  </si>
  <si>
    <t>증감액</t>
  </si>
  <si>
    <t>증감률</t>
  </si>
  <si>
    <t>2026년 구성비</t>
  </si>
  <si>
    <t>2027년 구성비</t>
  </si>
  <si>
    <t>노무비</t>
  </si>
  <si>
    <t>직접인건비 + 4대보험 등 간접인건비</t>
  </si>
  <si>
    <t>복리후생·교육훈련·위험부담 등 (부대비용 배분 포함)</t>
  </si>
  <si>
    <t>일반관리비</t>
  </si>
  <si>
    <t>직접원가 × 5% → 5%</t>
  </si>
  <si>
    <t>기업이윤</t>
  </si>
  <si>
    <t>1.388% → 1.388%</t>
  </si>
  <si>
    <t>단수정리</t>
  </si>
  <si>
    <t>천원 미만 절삭</t>
  </si>
  <si>
    <t>월 도급비 합계 (VAT 별도)</t>
  </si>
  <si>
    <t>부가가치세</t>
  </si>
  <si>
    <t>월 도급비 총계 (VAT 포함)</t>
  </si>
  <si>
    <t>연간 도급비 총액 (VAT 별도)</t>
  </si>
  <si>
    <t>12개월 → 12개월</t>
  </si>
  <si>
    <t>연간 도급비 총액 (VAT 포함)</t>
  </si>
  <si>
    <t>■ 인원·단가 비교</t>
  </si>
  <si>
    <t>투입 인원(명)</t>
  </si>
  <si>
    <t>인당 평균단가</t>
  </si>
  <si>
    <t>■ 기준 요율 비교 (사업주 부담)</t>
  </si>
  <si>
    <t>변동</t>
  </si>
  <si>
    <t>최저시급</t>
  </si>
  <si>
    <t>장기요양(건보 대비)</t>
  </si>
  <si>
    <t>석면피해구제</t>
  </si>
  <si>
    <t>■ 직책별 인당 단가 비교</t>
  </si>
  <si>
    <t>직책 · 근무지</t>
  </si>
  <si>
    <t>2026년 시급</t>
  </si>
  <si>
    <t>2027년 시급</t>
  </si>
  <si>
    <t>시급 증감률</t>
  </si>
  <si>
    <t>반장 (미화관리)</t>
  </si>
  <si>
    <t>1 → 1</t>
  </si>
  <si>
    <t>여미화원 (미화관리 · 조원)</t>
  </si>
  <si>
    <t>2 → 2</t>
  </si>
  <si>
    <t>3 → 3</t>
  </si>
  <si>
    <t>■ 항목별 산출내역 비교 (월간 총액 = 인당 금액 × 인원)</t>
  </si>
  <si>
    <t>2026년 월간총액</t>
  </si>
  <si>
    <t>2027년 월간총액</t>
  </si>
  <si>
    <t>미화 반장 · 미화관리 (1명)</t>
  </si>
  <si>
    <t>미화 여미화원 · 미화관리 · 조원 (2명)</t>
  </si>
  <si>
    <t>미화 여미화원 · 미화관리 · 조원 (3명)</t>
  </si>
  <si>
    <t>2026년 인당</t>
  </si>
  <si>
    <t>2027년 인당</t>
  </si>
  <si>
    <t>증감</t>
  </si>
  <si>
    <t>연차수당(적치)</t>
  </si>
  <si>
    <t>상여금</t>
  </si>
  <si>
    <t>퇴직충당금</t>
  </si>
  <si>
    <t>특수건강검진</t>
  </si>
  <si>
    <t>직원회의비</t>
  </si>
  <si>
    <t>※ 2026년 값은 ‘새 견적(2027년 갱신)’을 만들 때 저장한 전년 견적 기준입니다. 갱신 후 새로 추가한 직책은 ‘신규’로 표시됩니다. 증감액·증감률은 엑셀 수식으로 계산되어 숫자를 고치면 다시 계산됩니다.</t>
  </si>
  <si>
    <t>2026년 에스티엠 산출내역서</t>
  </si>
  <si>
    <t>보안용역 도급업무 · 용역기간 2026. 1. 1 ~ 2026. 12. 31 · 단위: 원, VAT 별도 · 노란 칸 = 입력값(수정 시 자동 재계산) · 산출 기준은 인력별(열별)로 따로 적용</t>
  </si>
  <si>
    <t>■ 산출 기준 (2026년 · 사업주 부담 · 인력별) — 노란 칸을 고치면 그 열(인력)의 산출내역만 다시 계산됩니다</t>
  </si>
  <si>
    <t>원 · 2026년 · 올린 당해년 견적서 기준</t>
  </si>
  <si>
    <t>사업주분 · 올린 당해년 견적서 기준</t>
  </si>
  <si>
    <t>올린 당해년 견적서 기준</t>
  </si>
  <si>
    <t>차량·장비·기타</t>
  </si>
  <si>
    <t>부대비용 산출 명세</t>
  </si>
  <si>
    <t>에스티엠 · 반영방식 인당 단가 균등 배분 · 단위: 원, VAT 별도 · 노란 칸 = 입력값(고치면 월 금액·산출내역서가 다시 계산)</t>
  </si>
  <si>
    <t>월 금액</t>
  </si>
  <si>
    <t>산출 근거</t>
  </si>
  <si>
    <t>반영된 부대비용이 없습니다. (차량·장비·기타를 추가하면 여기에 항목별로 산출됩니다)</t>
  </si>
  <si>
    <t>합계</t>
  </si>
  <si>
    <t>부대비용 월계 (차량 + 장비 + 기타)</t>
  </si>
  <si>
    <t>→ 산출내역서 ‘부대비용 월계’와 연결</t>
  </si>
  <si>
    <t>인당 배분액 (배분 대상 인원)</t>
  </si>
  <si>
    <t>6명에게 균등 배분 — 산출내역서 ‘부대비용 배분’ 행</t>
  </si>
  <si>
    <t>c</t>
  </si>
  <si>
    <r>
      <rPr>
        <b/>
        <sz val="22"/>
        <rFont val="돋움"/>
        <family val="3"/>
        <charset val="129"/>
      </rPr>
      <t>2026</t>
    </r>
    <r>
      <rPr>
        <b/>
        <sz val="22"/>
        <rFont val="Noto Sans CJK SC"/>
        <family val="2"/>
      </rPr>
      <t>년 에스티엠 미화용역 도급비 산출내역서</t>
    </r>
  </si>
  <si>
    <t>년간계</t>
  </si>
  <si>
    <t>구 분</t>
  </si>
  <si>
    <t>산출 내역</t>
  </si>
  <si>
    <t>조원</t>
  </si>
  <si>
    <t>김현희</t>
  </si>
  <si>
    <r>
      <rPr>
        <b/>
        <sz val="14"/>
        <rFont val="Noto Sans CJK SC"/>
        <family val="2"/>
      </rPr>
      <t>윤미노</t>
    </r>
    <r>
      <rPr>
        <b/>
        <sz val="14"/>
        <rFont val="돋움"/>
        <family val="3"/>
        <charset val="129"/>
      </rPr>
      <t>,</t>
    </r>
    <r>
      <rPr>
        <b/>
        <sz val="14"/>
        <rFont val="Noto Sans CJK SC"/>
        <family val="2"/>
      </rPr>
      <t>박정순</t>
    </r>
  </si>
  <si>
    <r>
      <rPr>
        <b/>
        <sz val="14"/>
        <rFont val="Noto Sans CJK SC"/>
        <family val="2"/>
      </rPr>
      <t>박정미</t>
    </r>
    <r>
      <rPr>
        <b/>
        <sz val="14"/>
        <rFont val="돋움"/>
        <family val="3"/>
        <charset val="129"/>
      </rPr>
      <t>,</t>
    </r>
    <r>
      <rPr>
        <b/>
        <sz val="14"/>
        <rFont val="Noto Sans CJK SC"/>
        <family val="2"/>
      </rPr>
      <t>김주미
이현희</t>
    </r>
  </si>
  <si>
    <t>기본사항</t>
  </si>
  <si>
    <t>일근무시간</t>
  </si>
  <si>
    <t>8h</t>
  </si>
  <si>
    <t>주간휴게</t>
  </si>
  <si>
    <t>야간휴게</t>
  </si>
  <si>
    <t>근로시간</t>
  </si>
  <si>
    <t>실근로시간</t>
  </si>
  <si>
    <t>주휴시간</t>
  </si>
  <si>
    <r>
      <rPr>
        <sz val="14"/>
        <color rgb="FF0000FF"/>
        <rFont val="Noto Sans CJK SC"/>
        <family val="2"/>
      </rPr>
      <t>월 환산시간</t>
    </r>
    <r>
      <rPr>
        <sz val="14"/>
        <color rgb="FF0000FF"/>
        <rFont val="돋움"/>
        <family val="3"/>
        <charset val="129"/>
      </rPr>
      <t>(</t>
    </r>
    <r>
      <rPr>
        <sz val="14"/>
        <color rgb="FF0000FF"/>
        <rFont val="Noto Sans CJK SC"/>
        <family val="2"/>
      </rPr>
      <t>주휴포함</t>
    </r>
    <r>
      <rPr>
        <sz val="14"/>
        <color rgb="FF0000FF"/>
        <rFont val="돋움"/>
        <family val="3"/>
        <charset val="129"/>
      </rPr>
      <t>)</t>
    </r>
  </si>
  <si>
    <t>근무조건</t>
  </si>
  <si>
    <t>인      원</t>
  </si>
  <si>
    <r>
      <rPr>
        <b/>
        <sz val="14"/>
        <rFont val="돋움"/>
        <family val="3"/>
        <charset val="129"/>
      </rPr>
      <t>2026</t>
    </r>
    <r>
      <rPr>
        <b/>
        <sz val="14"/>
        <rFont val="Noto Sans CJK SC"/>
        <family val="2"/>
      </rPr>
      <t>년 최저시급 기준</t>
    </r>
  </si>
  <si>
    <t>노 무 비</t>
  </si>
  <si>
    <r>
      <rPr>
        <sz val="14"/>
        <rFont val="Noto Sans CJK SC"/>
        <family val="2"/>
      </rPr>
      <t xml:space="preserve">시급 </t>
    </r>
    <r>
      <rPr>
        <sz val="14"/>
        <rFont val="돋움"/>
        <family val="3"/>
        <charset val="129"/>
      </rPr>
      <t xml:space="preserve">× </t>
    </r>
    <r>
      <rPr>
        <sz val="14"/>
        <rFont val="Noto Sans CJK SC"/>
        <family val="2"/>
      </rPr>
      <t>월환산시간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주휴포함</t>
    </r>
    <r>
      <rPr>
        <sz val="14"/>
        <rFont val="돋움"/>
        <family val="3"/>
        <charset val="129"/>
      </rPr>
      <t>)</t>
    </r>
  </si>
  <si>
    <r>
      <rPr>
        <sz val="14"/>
        <rFont val="Noto Sans CJK SC"/>
        <family val="2"/>
      </rPr>
      <t xml:space="preserve">통상시급 </t>
    </r>
    <r>
      <rPr>
        <sz val="14"/>
        <rFont val="돋움"/>
        <family val="3"/>
        <charset val="129"/>
      </rPr>
      <t xml:space="preserve">× </t>
    </r>
    <r>
      <rPr>
        <sz val="14"/>
        <rFont val="Noto Sans CJK SC"/>
        <family val="2"/>
      </rPr>
      <t>시간외</t>
    </r>
  </si>
  <si>
    <t>휴무실시</t>
  </si>
  <si>
    <t>월정액</t>
  </si>
  <si>
    <t>고객사 제공</t>
  </si>
  <si>
    <r>
      <rPr>
        <sz val="14"/>
        <color rgb="FF000000"/>
        <rFont val="Noto Sans CJK SC"/>
        <family val="2"/>
      </rPr>
      <t>월정액</t>
    </r>
    <r>
      <rPr>
        <sz val="14"/>
        <color rgb="FF000000"/>
        <rFont val="돋움"/>
        <family val="3"/>
        <charset val="129"/>
      </rPr>
      <t>(</t>
    </r>
    <r>
      <rPr>
        <sz val="14"/>
        <color rgb="FF000000"/>
        <rFont val="Noto Sans CJK SC"/>
        <family val="2"/>
      </rPr>
      <t>관리자에 한해 지급</t>
    </r>
    <r>
      <rPr>
        <sz val="14"/>
        <color rgb="FF000000"/>
        <rFont val="돋움"/>
        <family val="3"/>
        <charset val="129"/>
      </rPr>
      <t>)</t>
    </r>
  </si>
  <si>
    <t>미적용</t>
  </si>
  <si>
    <t>소    계</t>
  </si>
  <si>
    <r>
      <rPr>
        <sz val="14"/>
        <color rgb="FF333333"/>
        <rFont val="돋움"/>
        <family val="3"/>
        <charset val="129"/>
      </rPr>
      <t xml:space="preserve"> (</t>
    </r>
    <r>
      <rPr>
        <sz val="14"/>
        <color rgb="FF333333"/>
        <rFont val="Noto Sans CJK SC"/>
        <family val="2"/>
      </rPr>
      <t xml:space="preserve">통상시급 </t>
    </r>
    <r>
      <rPr>
        <sz val="14"/>
        <color rgb="FF333333"/>
        <rFont val="돋움"/>
        <family val="3"/>
        <charset val="129"/>
      </rPr>
      <t>× 8</t>
    </r>
    <r>
      <rPr>
        <sz val="14"/>
        <color rgb="FF333333"/>
        <rFont val="Noto Sans CJK SC"/>
        <family val="2"/>
      </rPr>
      <t xml:space="preserve">시간 </t>
    </r>
    <r>
      <rPr>
        <sz val="14"/>
        <color rgb="FF333333"/>
        <rFont val="돋움"/>
        <family val="3"/>
        <charset val="129"/>
      </rPr>
      <t>× 26</t>
    </r>
    <r>
      <rPr>
        <sz val="14"/>
        <color rgb="FF333333"/>
        <rFont val="Noto Sans CJK SC"/>
        <family val="2"/>
      </rPr>
      <t xml:space="preserve">개 </t>
    </r>
    <r>
      <rPr>
        <sz val="14"/>
        <color rgb="FF333333"/>
        <rFont val="돋움"/>
        <family val="3"/>
        <charset val="129"/>
      </rPr>
      <t>÷ 12</t>
    </r>
    <r>
      <rPr>
        <sz val="14"/>
        <color rgb="FF333333"/>
        <rFont val="Noto Sans CJK SC"/>
        <family val="2"/>
      </rPr>
      <t>개월</t>
    </r>
    <r>
      <rPr>
        <sz val="14"/>
        <color rgb="FF333333"/>
        <rFont val="돋움"/>
        <family val="3"/>
        <charset val="129"/>
      </rPr>
      <t xml:space="preserve">), </t>
    </r>
    <r>
      <rPr>
        <sz val="14"/>
        <color rgb="FF333333"/>
        <rFont val="Noto Sans CJK SC"/>
        <family val="2"/>
      </rPr>
      <t>신입</t>
    </r>
    <r>
      <rPr>
        <sz val="14"/>
        <color rgb="FF333333"/>
        <rFont val="돋움"/>
        <family val="3"/>
        <charset val="129"/>
      </rPr>
      <t>3</t>
    </r>
    <r>
      <rPr>
        <sz val="14"/>
        <color rgb="FF333333"/>
        <rFont val="Noto Sans CJK SC"/>
        <family val="2"/>
      </rPr>
      <t xml:space="preserve">명 </t>
    </r>
    <r>
      <rPr>
        <sz val="14"/>
        <color rgb="FF333333"/>
        <rFont val="돋움"/>
        <family val="3"/>
        <charset val="129"/>
      </rPr>
      <t>26</t>
    </r>
    <r>
      <rPr>
        <sz val="14"/>
        <color rgb="FF333333"/>
        <rFont val="Noto Sans CJK SC"/>
        <family val="2"/>
      </rPr>
      <t>개 적용</t>
    </r>
  </si>
  <si>
    <r>
      <rPr>
        <sz val="14"/>
        <rFont val="돋움"/>
        <family val="3"/>
        <charset val="129"/>
      </rPr>
      <t xml:space="preserve"> (</t>
    </r>
    <r>
      <rPr>
        <sz val="14"/>
        <rFont val="Noto Sans CJK SC"/>
        <family val="2"/>
      </rPr>
      <t>직접인건비 소계</t>
    </r>
    <r>
      <rPr>
        <sz val="14"/>
        <rFont val="돋움"/>
        <family val="3"/>
        <charset val="129"/>
      </rPr>
      <t>+</t>
    </r>
    <r>
      <rPr>
        <sz val="14"/>
        <rFont val="Noto Sans CJK SC"/>
        <family val="2"/>
      </rPr>
      <t>연차적치분</t>
    </r>
    <r>
      <rPr>
        <sz val="14"/>
        <rFont val="돋움"/>
        <family val="3"/>
        <charset val="129"/>
      </rPr>
      <t>) ÷ 12</t>
    </r>
    <r>
      <rPr>
        <sz val="14"/>
        <rFont val="Noto Sans CJK SC"/>
        <family val="2"/>
      </rPr>
      <t>개월</t>
    </r>
  </si>
  <si>
    <t>직접비 계①</t>
  </si>
  <si>
    <r>
      <rPr>
        <sz val="14"/>
        <color rgb="FF000000"/>
        <rFont val="Noto Sans CJK SC"/>
        <family val="2"/>
      </rPr>
      <t>직접인건비 소계</t>
    </r>
    <r>
      <rPr>
        <sz val="14"/>
        <color rgb="FF000000"/>
        <rFont val="돋움"/>
        <family val="3"/>
        <charset val="129"/>
      </rPr>
      <t>(</t>
    </r>
    <r>
      <rPr>
        <sz val="14"/>
        <color rgb="FF000000"/>
        <rFont val="Noto Sans CJK SC"/>
        <family val="2"/>
      </rPr>
      <t>연차적치분 포함</t>
    </r>
    <r>
      <rPr>
        <sz val="14"/>
        <color rgb="FF000000"/>
        <rFont val="돋움"/>
        <family val="3"/>
        <charset val="129"/>
      </rPr>
      <t xml:space="preserve">) + </t>
    </r>
    <r>
      <rPr>
        <sz val="14"/>
        <color rgb="FF000000"/>
        <rFont val="Noto Sans CJK SC"/>
        <family val="2"/>
      </rPr>
      <t>퇴직충당금</t>
    </r>
  </si>
  <si>
    <r>
      <rPr>
        <sz val="14"/>
        <rFont val="돋움"/>
        <family val="3"/>
        <charset val="129"/>
      </rPr>
      <t>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 xml:space="preserve">퇴직충당금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식대보조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(3.595%)</t>
    </r>
  </si>
  <si>
    <r>
      <rPr>
        <sz val="14"/>
        <rFont val="Noto Sans CJK SC"/>
        <family val="2"/>
      </rPr>
      <t xml:space="preserve"> 건강보험료 </t>
    </r>
    <r>
      <rPr>
        <sz val="14"/>
        <rFont val="돋움"/>
        <family val="3"/>
        <charset val="129"/>
      </rPr>
      <t>x 12.95%</t>
    </r>
  </si>
  <si>
    <r>
      <rPr>
        <sz val="14"/>
        <color rgb="FF000000"/>
        <rFont val="돋움"/>
        <family val="3"/>
        <charset val="129"/>
      </rPr>
      <t>[</t>
    </r>
    <r>
      <rPr>
        <sz val="14"/>
        <color rgb="FF000000"/>
        <rFont val="Noto Sans CJK SC"/>
        <family val="2"/>
      </rPr>
      <t xml:space="preserve">직접비 </t>
    </r>
    <r>
      <rPr>
        <sz val="14"/>
        <color rgb="FF000000"/>
        <rFont val="돋움"/>
        <family val="3"/>
        <charset val="129"/>
      </rPr>
      <t xml:space="preserve">- </t>
    </r>
    <r>
      <rPr>
        <sz val="14"/>
        <color rgb="FF000000"/>
        <rFont val="Noto Sans CJK SC"/>
        <family val="2"/>
      </rPr>
      <t xml:space="preserve">퇴직충당금 </t>
    </r>
    <r>
      <rPr>
        <sz val="14"/>
        <color rgb="FF000000"/>
        <rFont val="돋움"/>
        <family val="3"/>
        <charset val="129"/>
      </rPr>
      <t xml:space="preserve">- </t>
    </r>
    <r>
      <rPr>
        <sz val="14"/>
        <color rgb="FF000000"/>
        <rFont val="Noto Sans CJK SC"/>
        <family val="2"/>
      </rPr>
      <t>식대보조</t>
    </r>
    <r>
      <rPr>
        <sz val="14"/>
        <color rgb="FF000000"/>
        <rFont val="돋움"/>
        <family val="3"/>
        <charset val="129"/>
      </rPr>
      <t xml:space="preserve">] × </t>
    </r>
    <r>
      <rPr>
        <sz val="14"/>
        <color rgb="FF000000"/>
        <rFont val="Noto Sans CJK SC"/>
        <family val="2"/>
      </rPr>
      <t>보험요율</t>
    </r>
    <r>
      <rPr>
        <sz val="14"/>
        <color rgb="FF000000"/>
        <rFont val="돋움"/>
        <family val="3"/>
        <charset val="129"/>
      </rPr>
      <t>(4.75%)</t>
    </r>
  </si>
  <si>
    <r>
      <rPr>
        <sz val="14"/>
        <rFont val="돋움"/>
        <family val="3"/>
        <charset val="129"/>
      </rPr>
      <t>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 xml:space="preserve">퇴직충당금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식대보조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(1.75%)</t>
    </r>
  </si>
  <si>
    <r>
      <rPr>
        <sz val="14"/>
        <rFont val="돋움"/>
        <family val="3"/>
        <charset val="129"/>
      </rPr>
      <t>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 xml:space="preserve">퇴직충당금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식대보조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(1.35%)</t>
    </r>
  </si>
  <si>
    <r>
      <rPr>
        <sz val="14"/>
        <rFont val="돋움"/>
        <family val="3"/>
        <charset val="129"/>
      </rPr>
      <t xml:space="preserve"> 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퇴직충당금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(0.06%)</t>
    </r>
  </si>
  <si>
    <r>
      <rPr>
        <sz val="14"/>
        <rFont val="Noto Sans CJK SC"/>
        <family val="2"/>
      </rPr>
      <t xml:space="preserve">  산업안전보건법 </t>
    </r>
    <r>
      <rPr>
        <sz val="14"/>
        <rFont val="돋움"/>
        <family val="3"/>
        <charset val="129"/>
      </rPr>
      <t>'14</t>
    </r>
    <r>
      <rPr>
        <sz val="14"/>
        <rFont val="Noto Sans CJK SC"/>
        <family val="2"/>
      </rPr>
      <t xml:space="preserve">년 시행 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니켈 및 무기화학물 특수검진 대상</t>
    </r>
    <r>
      <rPr>
        <sz val="14"/>
        <rFont val="돋움"/>
        <family val="3"/>
        <charset val="129"/>
      </rPr>
      <t>)</t>
    </r>
  </si>
  <si>
    <r>
      <rPr>
        <sz val="14"/>
        <rFont val="돋움"/>
        <family val="3"/>
        <charset val="129"/>
      </rPr>
      <t xml:space="preserve">  3.1/100 x 1,294,128</t>
    </r>
    <r>
      <rPr>
        <sz val="14"/>
        <rFont val="Noto Sans CJK SC"/>
        <family val="2"/>
      </rPr>
      <t xml:space="preserve">원 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의무고용율 반영</t>
    </r>
    <r>
      <rPr>
        <sz val="14"/>
        <rFont val="돋움"/>
        <family val="3"/>
        <charset val="129"/>
      </rPr>
      <t>)</t>
    </r>
  </si>
  <si>
    <t>간접비 계②</t>
  </si>
  <si>
    <r>
      <rPr>
        <b/>
        <sz val="14"/>
        <rFont val="Noto Sans CJK SC"/>
        <family val="2"/>
      </rPr>
      <t>노무비 계</t>
    </r>
    <r>
      <rPr>
        <b/>
        <sz val="14"/>
        <rFont val="돋움"/>
        <family val="3"/>
        <charset val="129"/>
      </rPr>
      <t>(1)</t>
    </r>
  </si>
  <si>
    <r>
      <rPr>
        <b/>
        <sz val="14"/>
        <rFont val="Noto Sans CJK SC"/>
        <family val="2"/>
      </rPr>
      <t xml:space="preserve"> 직접비① </t>
    </r>
    <r>
      <rPr>
        <b/>
        <sz val="14"/>
        <rFont val="돋움"/>
        <family val="3"/>
        <charset val="129"/>
      </rPr>
      <t xml:space="preserve">+ </t>
    </r>
    <r>
      <rPr>
        <b/>
        <sz val="14"/>
        <rFont val="Noto Sans CJK SC"/>
        <family val="2"/>
      </rPr>
      <t>간접비②</t>
    </r>
  </si>
  <si>
    <t>경 비</t>
  </si>
  <si>
    <t>복리후생비</t>
  </si>
  <si>
    <r>
      <rPr>
        <sz val="14"/>
        <rFont val="Noto Sans CJK SC"/>
        <family val="2"/>
      </rPr>
      <t>월정액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직원회의비</t>
    </r>
    <r>
      <rPr>
        <sz val="14"/>
        <rFont val="돋움"/>
        <family val="3"/>
        <charset val="129"/>
      </rPr>
      <t>)</t>
    </r>
  </si>
  <si>
    <r>
      <rPr>
        <sz val="14"/>
        <rFont val="Noto Sans CJK SC"/>
        <family val="2"/>
      </rPr>
      <t xml:space="preserve">명절 </t>
    </r>
    <r>
      <rPr>
        <sz val="14"/>
        <rFont val="돋움"/>
        <family val="3"/>
        <charset val="129"/>
      </rPr>
      <t>2</t>
    </r>
    <r>
      <rPr>
        <sz val="14"/>
        <rFont val="Noto Sans CJK SC"/>
        <family val="2"/>
      </rPr>
      <t>회</t>
    </r>
    <r>
      <rPr>
        <sz val="14"/>
        <rFont val="돋움"/>
        <family val="3"/>
        <charset val="129"/>
      </rPr>
      <t>(50,000</t>
    </r>
    <r>
      <rPr>
        <sz val="14"/>
        <rFont val="Noto Sans CJK SC"/>
        <family val="2"/>
      </rPr>
      <t xml:space="preserve">원 </t>
    </r>
    <r>
      <rPr>
        <sz val="14"/>
        <rFont val="돋움"/>
        <family val="3"/>
        <charset val="129"/>
      </rPr>
      <t>× 2</t>
    </r>
    <r>
      <rPr>
        <sz val="14"/>
        <rFont val="Noto Sans CJK SC"/>
        <family val="2"/>
      </rPr>
      <t xml:space="preserve">회 </t>
    </r>
    <r>
      <rPr>
        <sz val="14"/>
        <rFont val="돋움"/>
        <family val="3"/>
        <charset val="129"/>
      </rPr>
      <t>÷ 12</t>
    </r>
    <r>
      <rPr>
        <sz val="14"/>
        <rFont val="Noto Sans CJK SC"/>
        <family val="2"/>
      </rPr>
      <t>개월</t>
    </r>
    <r>
      <rPr>
        <sz val="14"/>
        <rFont val="돋움"/>
        <family val="3"/>
        <charset val="129"/>
      </rPr>
      <t>)</t>
    </r>
  </si>
  <si>
    <t>에스텍베스트 지급기준</t>
  </si>
  <si>
    <r>
      <rPr>
        <sz val="14"/>
        <rFont val="Noto Sans CJK SC"/>
        <family val="2"/>
      </rPr>
      <t>경조사 및 기타 대치근무 발생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 xml:space="preserve">년간 평균 </t>
    </r>
    <r>
      <rPr>
        <sz val="14"/>
        <rFont val="돋움"/>
        <family val="3"/>
        <charset val="129"/>
      </rPr>
      <t>1.2</t>
    </r>
    <r>
      <rPr>
        <sz val="14"/>
        <rFont val="Noto Sans CJK SC"/>
        <family val="2"/>
      </rPr>
      <t>일 산정</t>
    </r>
  </si>
  <si>
    <t>복리후생 계①</t>
  </si>
  <si>
    <t>제비용</t>
  </si>
  <si>
    <r>
      <rPr>
        <sz val="14"/>
        <rFont val="Noto Sans CJK SC"/>
        <family val="2"/>
      </rPr>
      <t>동계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하계 피복 지급</t>
    </r>
  </si>
  <si>
    <t>고객사 제공조건</t>
  </si>
  <si>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 xml:space="preserve">노무비 </t>
    </r>
    <r>
      <rPr>
        <sz val="14"/>
        <rFont val="돋움"/>
        <family val="3"/>
        <charset val="129"/>
      </rPr>
      <t xml:space="preserve">×1.7%) </t>
    </r>
    <r>
      <rPr>
        <sz val="14"/>
        <rFont val="Noto Sans CJK SC"/>
        <family val="2"/>
      </rPr>
      <t>법정교육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 xml:space="preserve">온라인 교육 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유비온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올윈에듀 무환급 온라인 교육 시행</t>
    </r>
    <r>
      <rPr>
        <sz val="14"/>
        <rFont val="돋움"/>
        <family val="3"/>
        <charset val="129"/>
      </rPr>
      <t xml:space="preserve">) / </t>
    </r>
    <r>
      <rPr>
        <sz val="14"/>
        <rFont val="Noto Sans CJK SC"/>
        <family val="2"/>
      </rPr>
      <t>관리감독자교육</t>
    </r>
  </si>
  <si>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 xml:space="preserve">노무비 </t>
    </r>
    <r>
      <rPr>
        <sz val="14"/>
        <rFont val="돋움"/>
        <family val="3"/>
        <charset val="129"/>
      </rPr>
      <t xml:space="preserve">× 0.5%) </t>
    </r>
    <r>
      <rPr>
        <sz val="14"/>
        <rFont val="Noto Sans CJK SC"/>
        <family val="2"/>
      </rPr>
      <t>영업배상 책임보험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단체상해보험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생산물배상책임보험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개인정보보호배상책임보험 외</t>
    </r>
  </si>
  <si>
    <r>
      <rPr>
        <b/>
        <sz val="14"/>
        <rFont val="Noto Sans CJK SC"/>
        <family val="2"/>
      </rPr>
      <t>주민세</t>
    </r>
    <r>
      <rPr>
        <b/>
        <sz val="14"/>
        <rFont val="돋움"/>
        <family val="3"/>
        <charset val="129"/>
      </rPr>
      <t>(</t>
    </r>
    <r>
      <rPr>
        <b/>
        <sz val="14"/>
        <rFont val="Noto Sans CJK SC"/>
        <family val="2"/>
      </rPr>
      <t>사업소분</t>
    </r>
    <r>
      <rPr>
        <b/>
        <sz val="14"/>
        <rFont val="돋움"/>
        <family val="3"/>
        <charset val="129"/>
      </rPr>
      <t>)</t>
    </r>
  </si>
  <si>
    <r>
      <rPr>
        <sz val="14"/>
        <rFont val="Noto Sans CJK SC"/>
        <family val="2"/>
      </rPr>
      <t>납부세액</t>
    </r>
    <r>
      <rPr>
        <sz val="14"/>
        <rFont val="돋움"/>
        <family val="3"/>
        <charset val="129"/>
      </rPr>
      <t>(55,000</t>
    </r>
    <r>
      <rPr>
        <sz val="14"/>
        <rFont val="Noto Sans CJK SC"/>
        <family val="2"/>
      </rPr>
      <t>원</t>
    </r>
    <r>
      <rPr>
        <sz val="14"/>
        <rFont val="돋움"/>
        <family val="3"/>
        <charset val="129"/>
      </rPr>
      <t>) ÷ 12</t>
    </r>
    <r>
      <rPr>
        <sz val="14"/>
        <rFont val="Noto Sans CJK SC"/>
        <family val="2"/>
      </rPr>
      <t xml:space="preserve">개월 </t>
    </r>
    <r>
      <rPr>
        <sz val="14"/>
        <rFont val="돋움"/>
        <family val="3"/>
        <charset val="129"/>
      </rPr>
      <t xml:space="preserve">÷ </t>
    </r>
    <r>
      <rPr>
        <sz val="14"/>
        <rFont val="Noto Sans CJK SC"/>
        <family val="2"/>
      </rPr>
      <t xml:space="preserve">인원 </t>
    </r>
  </si>
  <si>
    <t>제비용 계②</t>
  </si>
  <si>
    <r>
      <rPr>
        <b/>
        <sz val="14"/>
        <rFont val="Noto Sans CJK SC"/>
        <family val="2"/>
      </rPr>
      <t>경비 계</t>
    </r>
    <r>
      <rPr>
        <b/>
        <sz val="14"/>
        <rFont val="돋움"/>
        <family val="3"/>
        <charset val="129"/>
      </rPr>
      <t>(2)</t>
    </r>
  </si>
  <si>
    <r>
      <rPr>
        <b/>
        <sz val="14"/>
        <rFont val="Noto Sans CJK SC"/>
        <family val="2"/>
      </rPr>
      <t xml:space="preserve"> 복리후생① </t>
    </r>
    <r>
      <rPr>
        <b/>
        <sz val="14"/>
        <rFont val="돋움"/>
        <family val="3"/>
        <charset val="129"/>
      </rPr>
      <t xml:space="preserve">+ </t>
    </r>
    <r>
      <rPr>
        <b/>
        <sz val="14"/>
        <rFont val="Noto Sans CJK SC"/>
        <family val="2"/>
      </rPr>
      <t>제비용②</t>
    </r>
  </si>
  <si>
    <r>
      <rPr>
        <b/>
        <sz val="14"/>
        <rFont val="돋움"/>
        <family val="3"/>
        <charset val="129"/>
      </rPr>
      <t xml:space="preserve">1. </t>
    </r>
    <r>
      <rPr>
        <b/>
        <sz val="14"/>
        <rFont val="Noto Sans CJK SC"/>
        <family val="2"/>
      </rPr>
      <t>직 접 원 가</t>
    </r>
  </si>
  <si>
    <r>
      <rPr>
        <b/>
        <sz val="14"/>
        <rFont val="Noto Sans CJK SC"/>
        <family val="2"/>
      </rPr>
      <t>노무비</t>
    </r>
    <r>
      <rPr>
        <b/>
        <sz val="14"/>
        <rFont val="돋움"/>
        <family val="3"/>
        <charset val="129"/>
      </rPr>
      <t xml:space="preserve">(1) + </t>
    </r>
    <r>
      <rPr>
        <b/>
        <sz val="14"/>
        <rFont val="Noto Sans CJK SC"/>
        <family val="2"/>
      </rPr>
      <t>경비</t>
    </r>
    <r>
      <rPr>
        <b/>
        <sz val="14"/>
        <rFont val="돋움"/>
        <family val="3"/>
        <charset val="129"/>
      </rPr>
      <t>(2)</t>
    </r>
  </si>
  <si>
    <r>
      <rPr>
        <b/>
        <sz val="14"/>
        <rFont val="돋움"/>
        <family val="3"/>
        <charset val="129"/>
      </rPr>
      <t xml:space="preserve">2. </t>
    </r>
    <r>
      <rPr>
        <b/>
        <sz val="14"/>
        <rFont val="Noto Sans CJK SC"/>
        <family val="2"/>
      </rPr>
      <t>일반관리비</t>
    </r>
  </si>
  <si>
    <r>
      <rPr>
        <b/>
        <sz val="14"/>
        <rFont val="돋움"/>
        <family val="3"/>
        <charset val="129"/>
      </rPr>
      <t>5.0%(</t>
    </r>
    <r>
      <rPr>
        <b/>
        <sz val="14"/>
        <rFont val="Noto Sans CJK SC"/>
        <family val="2"/>
      </rPr>
      <t>관리비</t>
    </r>
    <r>
      <rPr>
        <b/>
        <sz val="14"/>
        <rFont val="돋움"/>
        <family val="3"/>
        <charset val="129"/>
      </rPr>
      <t xml:space="preserve">) × 1. </t>
    </r>
    <r>
      <rPr>
        <b/>
        <sz val="14"/>
        <rFont val="Noto Sans CJK SC"/>
        <family val="2"/>
      </rPr>
      <t xml:space="preserve">직접원가 </t>
    </r>
  </si>
  <si>
    <r>
      <rPr>
        <b/>
        <sz val="14"/>
        <rFont val="돋움"/>
        <family val="3"/>
        <charset val="129"/>
      </rPr>
      <t xml:space="preserve">3. </t>
    </r>
    <r>
      <rPr>
        <b/>
        <sz val="14"/>
        <rFont val="Noto Sans CJK SC"/>
        <family val="2"/>
      </rPr>
      <t>원 가 소 계</t>
    </r>
  </si>
  <si>
    <r>
      <rPr>
        <b/>
        <sz val="14"/>
        <rFont val="돋움"/>
        <family val="3"/>
        <charset val="129"/>
      </rPr>
      <t xml:space="preserve">1. </t>
    </r>
    <r>
      <rPr>
        <b/>
        <sz val="14"/>
        <rFont val="Noto Sans CJK SC"/>
        <family val="2"/>
      </rPr>
      <t xml:space="preserve">원가 ＋ </t>
    </r>
    <r>
      <rPr>
        <b/>
        <sz val="14"/>
        <rFont val="돋움"/>
        <family val="3"/>
        <charset val="129"/>
      </rPr>
      <t xml:space="preserve">2. </t>
    </r>
    <r>
      <rPr>
        <b/>
        <sz val="14"/>
        <rFont val="Noto Sans CJK SC"/>
        <family val="2"/>
      </rPr>
      <t>일반관리비</t>
    </r>
  </si>
  <si>
    <r>
      <rPr>
        <b/>
        <sz val="14"/>
        <rFont val="돋움"/>
        <family val="3"/>
        <charset val="129"/>
      </rPr>
      <t xml:space="preserve">4. </t>
    </r>
    <r>
      <rPr>
        <b/>
        <sz val="14"/>
        <rFont val="Noto Sans CJK SC"/>
        <family val="2"/>
      </rPr>
      <t>기 업 이 윤</t>
    </r>
  </si>
  <si>
    <r>
      <rPr>
        <b/>
        <sz val="14"/>
        <rFont val="돋움"/>
        <family val="3"/>
        <charset val="129"/>
      </rPr>
      <t xml:space="preserve">2.0% </t>
    </r>
    <r>
      <rPr>
        <b/>
        <sz val="14"/>
        <rFont val="Noto Sans CJK SC"/>
        <family val="2"/>
      </rPr>
      <t xml:space="preserve">이윤 </t>
    </r>
    <r>
      <rPr>
        <b/>
        <sz val="14"/>
        <rFont val="돋움"/>
        <family val="3"/>
        <charset val="129"/>
      </rPr>
      <t>x 1.</t>
    </r>
    <r>
      <rPr>
        <b/>
        <sz val="14"/>
        <rFont val="Noto Sans CJK SC"/>
        <family val="2"/>
      </rPr>
      <t xml:space="preserve">직접원가 </t>
    </r>
    <r>
      <rPr>
        <b/>
        <sz val="14"/>
        <rFont val="돋움"/>
        <family val="3"/>
        <charset val="129"/>
      </rPr>
      <t xml:space="preserve">/ 1.39% </t>
    </r>
    <r>
      <rPr>
        <b/>
        <sz val="14"/>
        <rFont val="Noto Sans CJK SC"/>
        <family val="2"/>
      </rPr>
      <t>반영</t>
    </r>
  </si>
  <si>
    <r>
      <rPr>
        <b/>
        <sz val="14"/>
        <color rgb="FFFFFFFF"/>
        <rFont val="돋움"/>
        <family val="3"/>
        <charset val="129"/>
      </rPr>
      <t xml:space="preserve">5. </t>
    </r>
    <r>
      <rPr>
        <b/>
        <sz val="14"/>
        <color rgb="FFFFFFFF"/>
        <rFont val="Noto Sans CJK SC"/>
        <family val="2"/>
      </rPr>
      <t>원 가 총 계</t>
    </r>
  </si>
  <si>
    <r>
      <rPr>
        <b/>
        <sz val="14"/>
        <color rgb="FF0000FF"/>
        <rFont val="돋움"/>
        <family val="3"/>
        <charset val="129"/>
      </rPr>
      <t xml:space="preserve">6. </t>
    </r>
    <r>
      <rPr>
        <b/>
        <sz val="14"/>
        <color rgb="FF0000FF"/>
        <rFont val="Noto Sans CJK SC"/>
        <family val="2"/>
      </rPr>
      <t>견 적 금 액</t>
    </r>
  </si>
  <si>
    <t>천단위 미만 절삭</t>
  </si>
  <si>
    <t>◆ 에스텍 그룹 견적시스템 대조 — 2026년 당해년 (자동 연동)</t>
  </si>
  <si>
    <t>원본 견적서 인당 단가</t>
  </si>
  <si>
    <t>에스텍 그룹 산출내역서(2026) 단가</t>
  </si>
  <si>
    <t>차이</t>
  </si>
  <si>
    <t>※ 이 표는 에스텍 그룹 견적시스템이 자동으로 붙인 대조표입니다. 고객사 제출 시 행을 숨기거나 지워도 됩니다.</t>
  </si>
  <si>
    <r>
      <rPr>
        <b/>
        <sz val="22"/>
        <rFont val="돋움"/>
        <family val="3"/>
        <charset val="129"/>
      </rPr>
      <t>2027년 에스티엠 미화용역 도급비 산출내역서</t>
    </r>
  </si>
  <si>
    <r>
      <rPr>
        <b/>
        <sz val="14"/>
        <rFont val="돋움"/>
        <family val="3"/>
        <charset val="129"/>
      </rPr>
      <t>2027년 최저시급 기준</t>
    </r>
  </si>
  <si>
    <t>◆ 에스텍 그룹 견적시스템 대조 — 2027년 익년도 (자동 연동 · 항목별 금액은 '산출내역서(2027)' 시트와 연결)</t>
  </si>
  <si>
    <t>고객사 양식 인당 단가 (이 시트)</t>
  </si>
  <si>
    <t>에스텍 그룹 산출내역서(2027) 단가</t>
  </si>
  <si>
    <t>차이 (에스텍 그룹 − 고객사 양식)</t>
  </si>
  <si>
    <t>{"meta":{"client":"에스티엠","addr":"울산시 울주군 삼남읍 반구대로 163 에스티엠 보안실","svc":"보안용역 도급업무","year":2027,"date":"2026-10-29","from":"2027-01-01","to":"2027-12-31","valid":"작성일로부터 1개월","mode":"renew","branch":"동부","grpCo":"에스텍베스트","siteId":8,"lat":35.51551,"lng":129.094095,"geoName":"","geoSrc":""},"roles":[{"id":"r10009h9e","cat":"cln","rank":"반장","detail":"미화관리","gender":"F","shift":"custom","count":1,"wage":10700,"base":209,"ot":0,"night":0,"dayH":9,"rest":1,"watch":false,"pos":100000,"adj":220000,"duty":100000,"meal":0,"holDays":0,"leave":16,"laborDay":false,"retire":true,"bonusPct":46.4,"bonusBase":"basic","pensionPct":100,"special":"on","uniform":30000,"months":12,"prev":3755000,"note":"","addonEx":false,"bonusAmt":83333.3333,"insEx":"pos","extras":[{"id":"r1000pbq2","sec":"exp","name":"청소용품비","amt":0,"ord":false,"ins":true}],"title":"반장 (미화관리)","srcCol":3,"prevL":{"basic":2156880,"ot":0,"night":0,"pos":100000,"hol":0,"duty":100000,"meal":0,"adj":220000,"sub1":2576880,"leave":131520,"laborDay":0,"bonus":83333.33,"retire":232650,"direct":3024383.33,"health":96770,"ltc":12540,"pension":127860,"emp":47110,"ind":36260,"wclaim":0,"asb":0,"special":7500,"dis":40117.97,"indirect":368157.97,"labor":3392541.3,"uniform":30000,"gift":8333.33,"meeting":10000,"condol":3000,"relief":9863.66,"resTax":763.89,"edu":57670,"risk":16960,"addon":0,"expense":136590.88,"dcost":3529132.18,"ga":176460,"csub":3705592.18,"profit":48984.35,"total":3754576.53,"price":3755000,"ordinary":12329.57,"count":1,"monthTotal":3755000},"prevInfo":{"wage":10320,"base":209,"ot":0,"night":0,"count":1,"shift":"주간 고정 (9h)","filePrice":3755000},"prevRole":{"id":"r1003i98z","cat":"cln","rank":"반장","detail":"미화관리","gender":"F","shift":"custom","count":1,"wage":10320,"base":209,"ot":0,"night":0,"dayH":9,"rest":1,"watch":false,"pos":100000,"adj":220000,"duty":100000,"meal":0,"holDays":0,"leave":16,"laborDay":false,"retire":true,"bonusPct":46.4,"bonusBase":"basic","pensionPct":100,"special":"on","uniform":30000,"months":12,"prev":0,"note":"","addonEx":false,"bonusAmt":83333.3333,"insEx":"pos","filePrice":3755000,"extras":[{"id":"r1000pbq2","sec":"exp","name":"청소용품비","amt":0,"ord":false,"ins":true}],"title":"반장 (미화관리)","srcCol":3}},{"id":"r1001fq92","cat":"cln","rank":"여미화원","detail":"미화관리 · 조원","gender":"F","shift":"custom","count":2,"wage":10700,"base":209,"ot":0,"night":0,"dayH":9,"rest":1,"watch":false,"pos":0,"adj":220000,"duty":100000,"meal":0,"holDays":0,"leave":16,"laborDay":false,"retire":true,"bonusPct":46.4,"bonusBase":"basic","pensionPct":100,"special":"on","uniform":30000,"months":12,"prev":3630000,"note":"","addonEx":false,"bonusAmt":83333.3333,"extras":[{"id":"r1001ftq6","sec":"exp","name":"청소용품비","amt":0,"ord":false,"ins":true}],"title":"여미화원 (미화관리 · 조원)","srcCol":4,"prevL":{"basic":2156880,"ot":0,"night":0,"pos":0,"hol":0,"duty":100000,"meal":0,"adj":220000,"sub1":2476880,"leave":126420,"laborDay":0,"bonus":83333.33,"retire":223890,"direct":2910523.33,"health":96590,"ltc":12510,"pension":127620,"emp":47020,"ind":36190,"wclaim":0,"asb":0,"special":7500,"dis":40117.97,"indirect":367547.97,"labor":3278071.3,"uniform":30000,"gift":8333.33,"meeting":10000,"condol":3000,"relief":9480.88,"resTax":763.89,"edu":55720,"risk":16390,"addon":0,"expense":133688.1,"dcost":3411759.4,"ga":170590,"csub":3582349.4,"profit":47355.22,"total":3629704.62,"price":3630000,"ordinary":11851.1,"count":2,"monthTotal":7260000},"prevInfo":{"wage":10320,"base":209,"ot":0,"night":0,"count":2,"shift":"주간 고정 (9h)","filePrice":3630000},"prevRole":{"id":"r1004r5al","cat":"cln","rank":"여미화원","detail":"미화관리 · 조원","gender":"F","shift":"custom","count":2,"wage":10320,"base":209,"ot":0,"night":0,"dayH":9,"rest":1,"watch":false,"pos":0,"adj":220000,"duty":100000,"meal":0,"holDays":0,"leave":16,"laborDay":false,"retire":true,"bonusPct":46.4,"bonusBase":"basic","pensionPct":100,"special":"on","uniform":30000,"months":12,"prev":0,"note":"","addonEx":false,"bonusAmt":83333.3333,"filePrice":3630000,"extras":[{"id":"r1001ftq6","sec":"exp","name":"청소용품비","amt":0,"ord":false,"ins":true}],"title":"여미화원 (미화관리 · 조원)","srcCol":4}},{"id":"r100234ei","cat":"cln","rank":"여미화원","detail":"미화관리 · 조원","gender":"F","shift":"custom","count":3,"wage":10700,"base":209,"ot":0,"night":0,"dayH":9,"rest":1,"watch":false,"pos":0,"adj":220000,"duty":100000,"meal":0,"holDays":0,"leave":26,"laborDay":false,"retire":true,"bonusPct":46.4,"bonusBase":"basic","pensionPct":100,"special":"on","uniform":30000,"months":12,"prev":3733000,"note":"","addonEx":false,"bonusAmt":83333.3333,"extras":[{"id":"r10029lvy","sec":"exp","name":"청소용품비","amt":0,"ord":false,"ins":true}],"title":"여미화원 (미화관리 · 조원)","srcCol":5,"prevL":{"basic":2156880,"ot":0,"night":0,"pos":0,"hol":0,"duty":100000,"meal":0,"adj":220000,"sub1":2476880,"leave":205420,"laborDay":0,"bonus":83333.33,"retire":230470,"direct":2996103.33,"health":99430,"ltc":12880,"pension":131370,"emp":48400,"ind":37260,"wclaim":0,"asb":0,"special":7500,"dis":40117.97,"indirect":376957.97,"labor":3373061.3,"uniform":30000,"gift":8333.33,"meeting":10000,"condol":3000,"relief":9480.88,"resTax":763.89,"edu":57340,"risk":16860,"addon":0,"expense":135778.1,"dcost":3508839.4,"ga":175450,"csub":3684289.4,"profit":48702.69,"total":3732992.09,"price":3733000,"ordinary":11851.1,"count":3,"monthTotal":11199000},"prevInfo":{"wage":10320,"base":209,"ot":0,"night":0,"count":3,"shift":"주간 고정 (9h)","filePrice":3733000},"prevRole":{"id":"r1005ya4w","cat":"cln","rank":"여미화원","detail":"미화관리 · 조원","gender":"F","shift":"custom","count":3,"wage":10320,"base":209,"ot":0,"night":0,"dayH":9,"rest":1,"watch":false,"pos":0,"adj":220000,"duty":100000,"meal":0,"holDays":0,"leave":26,"laborDay":false,"retire":true,"bonusPct":46.4,"bonusBase":"basic","pensionPct":100,"special":"on","uniform":30000,"months":12,"prev":0,"note":"","addonEx":false,"bonusAmt":83333.3333,"filePrice":3733000,"extras":[{"id":"r10029lvy","sec":"exp","name":"청소용품비","amt":0,"ord":false,"ins":true}],"title":"여미화원 (미화관리 · 조원)","srcCol":5}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90000,"disOn":true,"disRate":3.1,"disBase":1294128,"disRatio":100,"gift":100000,"meeting":10000,"condol":3000,"reliefH":12,"reliefDays":0.8,"resTax":55000,"resSites":1,"edu":1.7,"eduFix":0,"risk":0.5,"riskFix":0,"leaveH":8,"ga":5,"profit":1.388,"profitBase":"direct","gaRound":true,"priceRound":"up3","vat":10,"coKey":"에스텍시스템","coName":"㈜에스텍베스트","coCeo":"정규상","coBizNo":"607-81-56605","coCorpNo":"110111-1627144","coAddr":"부산시 부산진구 중앙대로 920, 2층(설비건설회관)","coType":"서비스","coItem":"경비용역,시설관리,위생관리","coLic":"경찰청 허가 제243호 / 위생관리 신고증 제139호","coBranch":"에스텍베스트","coPerson":"최민영","coPersonTitle":"","coPersonTel":"","cond":"○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제공조건","giftRound":false,"eduRnd":"down10","riskRnd":"down10","disRound":false,"insBasis":"sys"},"importSrc":{"name":"stm.xlsx","sheet":"2026 산출내역서","map":{"kind":"detail","sheet":"2026 산출내역서","cols":[3,4,5],"otherCols":[],"labelEnd":2,"rows":{"wage":15,"count":14,"price":61,"basic":17,"ordinary":16},"rowsAll":{"basic":17,"ot$":18,"hol":19,"duty":20,"meal":21,"adj":22,"pos":23,"sub1":25,"leave":26,"laborDay":28,"bonus":27,"retire":29,"direct":30,"health":31,"pension":33,"wclaim":36,"special":37,"dis":38,"indirect":39,"labor":40,"uniform":49,"gift":42,"meeting":41,"condol":43,"relief":44,"resTax":53,"edu":51,"risk":52,"expense":55,"dcost":56,"ga":57,"csub":58,"profit":59,"total":60,"price":61,"ordinary":16,"ltc":32,"emp":34,"ind":35,"x:exp:청소용품비":50},"rateRows":{"health":31,"ltc":32,"pension":33,"emp":34,"ind":35,"wageClaim":36},"rateLoc":{"health":{"r":31,"c":11,"kind":"num"},"ltc":{"r":32,"c":11,"kind":"num"},"pension":{"r":33,"c":11,"kind":"num"},"emp":{"r":34,"c":11,"kind":"num"},"ind":{"r":35,"c":11,"kind":"num"},"wageClaim":{"r":36,"c":12,"kind":"text"}},"lastRow":71},"year":2026,"xls":false,"id":"src_1793207851222_wv3d","extraFrom":74},"labels":{"basic":"기본급여","ot$":"시간외 수당","hol":"공휴일수당","duty":"직무수당","meal":"식대보조","adj":"조정수당","pos":"직책수당","leave":"연차수당","laborDay":"근로자의날","bonus":"상여급","retire":"퇴직충담금","health":"건강보험료","pension":"국민연금","special":"특수검진","dis":"장애인고용부담금","uniform":"피복장구비","gift":"직원선물대","meeting":"사업장운영비","condol":"경조비","relief":"대치근무비","resTax":"주민세(사업소분)","edu":"교육훈련비","risk":"위험부담금"},"prevRateSrc":{"file":"stm.xlsx","year":2026,"sheet2":null,"from":{"health":"2026 산출내역서","ltc":"2026 산출내역서","pension":"2026 산출내역서","emp":"2026 산출내역서","ind":"2026 산출내역서","wageClaim":"2026 산출내역서","asb":"2026 산출내역서"},"keys":["health","ltc","pension","emp","ind","wageClaim","asb"],"minWage":10320,"mwFrom":"2026 산출내역서"},"compare":{"year":2026,"setFull":{"minWage":10320,"health":3.595,"ltc":12.95,"pension":4.75,"empSize":"o1000","emp":1.75,"indBase":1.287,"indCom":0.06,"ind":1.347,"wageClaim":0,"asb":0,"otGen":1.5,"otWatch":1,"nightRate":0.5,"specialExam":90000,"disOn":true,"disRate":3.1,"disBase":1294128,"disRatio":100,"gift":100000,"meeting":10000,"condol":3000,"reliefH":12,"reliefDays":0.8,"resTax":55000,"resSites":1,"edu":1.7,"eduFix":0,"risk":0.5,"riskFix":0,"leaveH":8,"ga":5,"profit":1.388,"profitBase":"direct","gaRound":true,"priceRound":"up3","vat":10,"coKey":"에스텍시스템","coName":"㈜에스텍베스트","coCeo":"정규상","coBizNo":"607-81-56605","coCorpNo":"110111-1627144","coAddr":"부산시 부산진구 중앙대로 920, 2층(설비건설회관)","coType":"서비스","coItem":"경비용역,시설관리,위생관리","coLic":"경찰청 허가 제243호 / 위생관리 신고증 제139호","coBranch":"에스텍베스트","coPerson":"최민영","coPersonTitle":"","coPersonTel":"","cond":"○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,"giftRound":false,"eduRnd":"down10","riskRnd":"down10","disRound":false},"set":{"minWage":10320,"health":3.595,"ltc":12.95,"pension":4.75,"emp":1.75,"ind":1.347,"wageClaim":0,"asb":0,"ga":5,"profit":1.388},"month":22214000,"monthAll":22214000,"yearAll":266568000,"heads":6,"avg":3702333.3333333335,"vat":2221400,"addon":0,"sep":0,"months":12,"fromFile":"stm.xlsx"}}</t>
  </si>
  <si>
    <t>STEC-QUOTE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</si>
</sst>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176" formatCode="&quot;₩ &quot;#,##0"/>
    <numFmt numFmtId="177" formatCode="\+#,##0;\-#,##0;&quot;-&quot;"/>
    <numFmt numFmtId="178" formatCode="&quot;평균 인상 &quot;\▲0.0%;&quot;평균 인하 &quot;\▼0.0%;&quot;동결&quot;"/>
    <numFmt numFmtId="179" formatCode="#,##0.####"/>
    <numFmt numFmtId="180" formatCode="0.0%"/>
    <numFmt numFmtId="181" formatCode="#,##0;\-#,##0;&quot;-&quot;"/>
    <numFmt numFmtId="182" formatCode="0.000%"/>
    <numFmt numFmtId="183" formatCode="0.0000%"/>
    <numFmt numFmtId="184" formatCode="0.0#"/>
    <numFmt numFmtId="185" formatCode="0.##"/>
    <numFmt numFmtId="186" formatCode="0.0#%"/>
    <numFmt numFmtId="187" formatCode="0.0##%"/>
    <numFmt numFmtId="188" formatCode="[Red]\▲#,##0;[Blue]\▼#,##0;&quot;-&quot;"/>
    <numFmt numFmtId="189" formatCode="[Red]\▲0.0%;[Blue]\▼0.0%;&quot;-&quot;"/>
    <numFmt numFmtId="190" formatCode="\▲#,##0;\▼#,##0;&quot;-&quot;"/>
    <numFmt numFmtId="191" formatCode="\▲0.0%;\▼0.0%;&quot;-&quot;"/>
    <numFmt numFmtId="192" formatCode="[Red]\▲0.000&quot;%p&quot;;[Blue]\▼0.000&quot;%p&quot;;&quot;-&quot;"/>
    <numFmt numFmtId="193" formatCode="#,##0.##"/>
    <numFmt numFmtId="194" formatCode="0.0_);[Red]\(0.0\)"/>
    <numFmt numFmtId="195" formatCode="#,##0_);[Red]\(#,##0\)"/>
    <numFmt numFmtId="196" formatCode="0&quot;개월&quot;"/>
    <numFmt numFmtId="197" formatCode="0_);[Red]\(0\)"/>
    <numFmt numFmtId="198" formatCode="_-* #,##0_-;\-* #,##0_-;_-* \-_-;_-@_-"/>
    <numFmt numFmtId="199" formatCode="0&quot;명&quot;"/>
    <numFmt numFmtId="200" formatCode="_-* #,##0_-;\-* #,##0_-;_-* \-??_-;_-@_-"/>
    <numFmt numFmtId="201" formatCode="#,##0.0_);[Red]\(#,##0.0\)"/>
    <numFmt numFmtId="202" formatCode="0_ "/>
    <numFmt numFmtId="203" formatCode="_-* #,##0.00_-;\-* #,##0.00_-;_-* \-??_-;_-@_-"/>
    <numFmt numFmtId="204" formatCode="_-* #,##0.0_-;\-* #,##0.0_-;_-* \-_-;_-@_-"/>
    <numFmt numFmtId="205" formatCode="0.0%&quot;(관리비) X 1. 직접원가&quot;"/>
    <numFmt numFmtId="206" formatCode="0.0000"/>
    <numFmt numFmtId="207" formatCode="#,##0;[Red]\-#,##0;&quot;-&quot;"/>
    <numFmt numFmtId="208" formatCode="#,##0;-#,##0;&quot;-&quot;"/>
    <numFmt numFmtId="209" formatCode="#,##0.0;-#,##0.0;&quot;-&quot;"/>
  </numFmts>
  <fonts count="83">
    <font>
      <sz val="11"/>
      <color theme="1"/>
      <name val="맑은 고딕"/>
      <family val="2"/>
      <scheme val="minor"/>
    </font>
    <font>
      <sz val="10"/>
      <color rgb="FF5D6784"/>
      <name val="맑은 고딕"/>
      <family val="3"/>
      <charset val="129"/>
    </font>
    <font>
      <b/>
      <sz val="15"/>
      <color rgb="FF1B2A86"/>
      <name val="맑은 고딕"/>
      <family val="3"/>
      <charset val="129"/>
    </font>
    <font>
      <b/>
      <sz val="44"/>
      <color rgb="FF16192A"/>
      <name val="맑은 고딕"/>
      <family val="3"/>
      <charset val="129"/>
    </font>
    <font>
      <b/>
      <sz val="10.5"/>
      <color rgb="FF1B2A86"/>
      <name val="맑은 고딕"/>
      <family val="3"/>
      <charset val="129"/>
    </font>
    <font>
      <b/>
      <sz val="9.5"/>
      <color rgb="FF1B2A8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.5"/>
      <color rgb="FF16192A"/>
      <name val="맑은 고딕"/>
      <family val="3"/>
      <charset val="129"/>
    </font>
    <font>
      <b/>
      <sz val="12"/>
      <color rgb="FF14532D"/>
      <name val="맑은 고딕"/>
      <family val="3"/>
      <charset val="129"/>
    </font>
    <font>
      <sz val="9.5"/>
      <color rgb="FF5D6784"/>
      <name val="맑은 고딕"/>
      <family val="3"/>
      <charset val="129"/>
    </font>
    <font>
      <b/>
      <sz val="16"/>
      <color rgb="FF1B2A86"/>
      <name val="맑은 고딕"/>
      <family val="3"/>
      <charset val="129"/>
    </font>
    <font>
      <sz val="10"/>
      <color rgb="FF16192A"/>
      <name val="맑은 고딕"/>
      <family val="3"/>
      <charset val="129"/>
    </font>
    <font>
      <b/>
      <sz val="16"/>
      <color rgb="FF16192A"/>
      <name val="맑은 고딕"/>
      <family val="3"/>
      <charset val="129"/>
    </font>
    <font>
      <sz val="8.5"/>
      <color rgb="FF5D6784"/>
      <name val="맑은 고딕"/>
      <family val="3"/>
      <charset val="129"/>
    </font>
    <font>
      <b/>
      <sz val="30"/>
      <color rgb="FF1B2A86"/>
      <name val="맑은 고딕"/>
      <family val="3"/>
      <charset val="129"/>
    </font>
    <font>
      <sz val="9"/>
      <color rgb="FF5D6784"/>
      <name val="맑은 고딕"/>
      <family val="3"/>
      <charset val="129"/>
    </font>
    <font>
      <sz val="8"/>
      <color rgb="FF5D6784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111111"/>
      <name val="맑은 고딕"/>
      <family val="3"/>
      <charset val="129"/>
    </font>
    <font>
      <sz val="9"/>
      <color rgb="FFDDE3FF"/>
      <name val="맑은 고딕"/>
      <family val="3"/>
      <charset val="129"/>
    </font>
    <font>
      <b/>
      <sz val="9.5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sz val="9.5"/>
      <name val="맑은 고딕"/>
      <family val="3"/>
      <charset val="129"/>
    </font>
    <font>
      <b/>
      <sz val="11"/>
      <color rgb="FF1B2A86"/>
      <name val="맑은 고딕"/>
      <family val="3"/>
      <charset val="129"/>
    </font>
    <font>
      <b/>
      <sz val="10"/>
      <color rgb="FF2B8A3E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sz val="9.5"/>
      <color rgb="FF2B8A3E"/>
      <name val="맑은 고딕"/>
      <family val="3"/>
      <charset val="129"/>
    </font>
    <font>
      <b/>
      <sz val="9.5"/>
      <color rgb="FFC8323A"/>
      <name val="맑은 고딕"/>
      <family val="3"/>
      <charset val="129"/>
    </font>
    <font>
      <b/>
      <sz val="10"/>
      <name val="맑은 고딕"/>
      <family val="3"/>
      <charset val="129"/>
    </font>
    <font>
      <b/>
      <sz val="20"/>
      <color rgb="FF1B2A86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1B2A86"/>
      <name val="맑은 고딕"/>
      <family val="3"/>
      <charset val="129"/>
    </font>
    <font>
      <b/>
      <sz val="9"/>
      <color rgb="FF3B5BC4"/>
      <name val="맑은 고딕"/>
      <family val="3"/>
      <charset val="129"/>
    </font>
    <font>
      <b/>
      <sz val="9"/>
      <color rgb="FF2B8A3E"/>
      <name val="맑은 고딕"/>
      <family val="3"/>
      <charset val="129"/>
    </font>
    <font>
      <b/>
      <sz val="9"/>
      <color rgb="FFC07A12"/>
      <name val="맑은 고딕"/>
      <family val="3"/>
      <charset val="129"/>
    </font>
    <font>
      <b/>
      <sz val="9"/>
      <color rgb="FF4B5470"/>
      <name val="맑은 고딕"/>
      <family val="3"/>
      <charset val="129"/>
    </font>
    <font>
      <sz val="8.5"/>
      <color rgb="FFFFFFFF"/>
      <name val="맑은 고딕"/>
      <family val="3"/>
      <charset val="129"/>
    </font>
    <font>
      <b/>
      <sz val="10"/>
      <color rgb="FF1B2A86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11"/>
      <name val="돋움"/>
      <family val="3"/>
      <charset val="129"/>
    </font>
    <font>
      <b/>
      <sz val="22"/>
      <name val="돋움"/>
      <family val="3"/>
      <charset val="129"/>
    </font>
    <font>
      <b/>
      <sz val="14"/>
      <color rgb="FF333399"/>
      <name val="돋움"/>
      <family val="3"/>
      <charset val="129"/>
    </font>
    <font>
      <b/>
      <sz val="11"/>
      <name val="돋움"/>
      <family val="3"/>
      <charset val="129"/>
    </font>
    <font>
      <sz val="9"/>
      <name val="돋움"/>
      <family val="3"/>
      <charset val="129"/>
    </font>
    <font>
      <b/>
      <sz val="14"/>
      <name val="Noto Sans CJK SC"/>
      <family val="2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14"/>
      <color rgb="FF0000FF"/>
      <name val="Noto Sans CJK SC"/>
      <family val="2"/>
    </font>
    <font>
      <sz val="14"/>
      <color rgb="FF0000FF"/>
      <name val="돋움"/>
      <family val="3"/>
      <charset val="129"/>
    </font>
    <font>
      <sz val="14"/>
      <name val="Noto Sans CJK SC"/>
      <family val="2"/>
    </font>
    <font>
      <b/>
      <sz val="14"/>
      <color rgb="FF000000"/>
      <name val="Noto Sans CJK SC"/>
      <family val="2"/>
    </font>
    <font>
      <sz val="14"/>
      <color rgb="FF000000"/>
      <name val="돋움"/>
      <family val="3"/>
      <charset val="129"/>
    </font>
    <font>
      <sz val="14"/>
      <color rgb="FF000000"/>
      <name val="Noto Sans CJK SC"/>
      <family val="2"/>
    </font>
    <font>
      <sz val="14"/>
      <color rgb="FF3366FF"/>
      <name val="돋움"/>
      <family val="3"/>
      <charset val="129"/>
    </font>
    <font>
      <sz val="14"/>
      <color rgb="FF333333"/>
      <name val="돋움"/>
      <family val="3"/>
      <charset val="129"/>
    </font>
    <font>
      <sz val="14"/>
      <color rgb="FFFF0000"/>
      <name val="돋움"/>
      <family val="3"/>
      <charset val="129"/>
    </font>
    <font>
      <sz val="14"/>
      <color rgb="FF333333"/>
      <name val="Noto Sans CJK SC"/>
      <family val="2"/>
    </font>
    <font>
      <b/>
      <sz val="14"/>
      <color rgb="FF0000FF"/>
      <name val="돋움"/>
      <family val="3"/>
      <charset val="129"/>
    </font>
    <font>
      <b/>
      <sz val="14"/>
      <color rgb="FFFF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4"/>
      <color rgb="FF3366FF"/>
      <name val="돋움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0000FF"/>
      <name val="Noto Sans CJK SC"/>
      <family val="2"/>
    </font>
    <font>
      <sz val="20"/>
      <color rgb="FFFF0000"/>
      <name val="돋움"/>
      <family val="3"/>
      <charset val="129"/>
    </font>
    <font>
      <b/>
      <sz val="14"/>
      <color rgb="FF1B2A86"/>
      <name val="맑은 고딕"/>
      <family val="3"/>
      <charset val="129"/>
    </font>
    <font>
      <b/>
      <sz val="15"/>
      <name val="맑은 고딕"/>
      <family val="3"/>
      <charset val="129"/>
    </font>
    <font>
      <sz val="11"/>
      <color rgb="FF5D6784"/>
      <name val="맑은 고딕"/>
      <family val="3"/>
      <charset val="129"/>
    </font>
    <font>
      <b/>
      <sz val="22"/>
      <name val="Noto Sans CJK SC"/>
      <family val="2"/>
    </font>
    <font>
      <b/>
      <sz val="14"/>
      <color rgb="FFFFFFFF"/>
      <name val="Noto Sans CJK SC"/>
      <family val="2"/>
    </font>
    <font>
      <sz val="8"/>
      <name val="맑은 고딕"/>
      <family val="3"/>
      <charset val="129"/>
      <scheme val="minor"/>
    </font>
    <font>
      <color rgb="FF5D6784"/>
      <sz val="9"/>
      <name val="맑은 고딕"/>
    </font>
    <font>
      <color rgb="FF5D6784"/>
      <sz val="9"/>
      <name val="맑은 고딕"/>
    </font>
    <font>
      <color rgb="FF5D6784"/>
      <sz val="8"/>
      <name val="맑은 고딕"/>
    </font>
    <font>
      <sz val="9"/>
      <name val="맑은 고딕"/>
    </font>
    <font>
      <sz val="9"/>
      <name val="맑은 고딕"/>
    </font>
    <font>
      <color rgb="FF5D6784"/>
      <sz val="8.5"/>
      <name val="맑은 고딕"/>
    </font>
    <font>
      <b/>
      <sz val="9.5"/>
      <name val="맑은 고딕"/>
    </font>
    <font>
      <b/>
      <sz val="9.5"/>
      <name val="맑은 고딕"/>
    </font>
    <font>
      <b/>
      <color rgb="FFFFFFFF"/>
      <sz val="9.5"/>
      <name val="맑은 고딕"/>
    </font>
    <font>
      <b/>
      <color rgb="FFFFFFFF"/>
      <sz val="9.5"/>
      <name val="맑은 고딕"/>
    </font>
    <font>
      <b/>
      <color rgb="FF1B2A86"/>
      <sz val="16"/>
      <name val="맑은 고딕"/>
    </font>
    <font>
      <b/>
      <color rgb="FFFFFFFF"/>
      <sz val="9.5"/>
      <name val="맑은 고딕"/>
    </font>
  </fonts>
  <fills count="46">
    <fill>
      <patternFill patternType="none"/>
    </fill>
    <fill>
      <patternFill patternType="gray125"/>
    </fill>
    <fill>
      <patternFill patternType="solid">
        <fgColor rgb="FF1B2A86"/>
      </patternFill>
    </fill>
    <fill>
      <patternFill patternType="solid">
        <fgColor rgb="FF2B8A3E"/>
      </patternFill>
    </fill>
    <fill>
      <patternFill patternType="solid">
        <fgColor rgb="FFF5F7FC"/>
      </patternFill>
    </fill>
    <fill>
      <patternFill patternType="solid">
        <fgColor rgb="FFE3F2E6"/>
      </patternFill>
    </fill>
    <fill>
      <patternFill patternType="solid">
        <fgColor rgb="FFEEF1F7"/>
      </patternFill>
    </fill>
    <fill>
      <patternFill patternType="solid">
        <fgColor rgb="FFE1EFE4"/>
      </patternFill>
    </fill>
    <fill>
      <patternFill patternType="solid">
        <fgColor rgb="FFF8F9FC"/>
      </patternFill>
    </fill>
    <fill>
      <patternFill patternType="solid">
        <fgColor rgb="FFD9E3FA"/>
      </patternFill>
    </fill>
    <fill>
      <patternFill patternType="solid">
        <fgColor rgb="FFF5F8FF"/>
      </patternFill>
    </fill>
    <fill>
      <patternFill patternType="solid">
        <fgColor rgb="FFCDEBD6"/>
      </patternFill>
    </fill>
    <fill>
      <patternFill patternType="solid">
        <fgColor rgb="FF2A3A9C"/>
      </patternFill>
    </fill>
    <fill>
      <patternFill patternType="solid">
        <fgColor rgb="FFFAFBFD"/>
      </patternFill>
    </fill>
    <fill>
      <patternFill patternType="solid">
        <fgColor rgb="FFFFF6D5"/>
      </patternFill>
    </fill>
    <fill>
      <patternFill patternType="solid">
        <fgColor rgb="FFF2F5FB"/>
      </patternFill>
    </fill>
    <fill>
      <patternFill patternType="solid">
        <fgColor rgb="FFF3FAF5"/>
      </patternFill>
    </fill>
    <fill>
      <patternFill patternType="solid">
        <fgColor rgb="FFBCCBF2"/>
      </patternFill>
    </fill>
    <fill>
      <patternFill patternType="solid">
        <fgColor rgb="FFF8E2B8"/>
      </patternFill>
    </fill>
    <fill>
      <patternFill patternType="solid">
        <fgColor rgb="FFFFF9EE"/>
      </patternFill>
    </fill>
    <fill>
      <patternFill patternType="solid">
        <fgColor rgb="FFDDE1EA"/>
      </patternFill>
    </fill>
    <fill>
      <patternFill patternType="solid">
        <fgColor rgb="FFF6F7FA"/>
      </patternFill>
    </fill>
    <fill>
      <patternFill patternType="solid">
        <fgColor rgb="FFC9CFDC"/>
      </patternFill>
    </fill>
    <fill>
      <patternFill patternType="solid">
        <fgColor rgb="FFDCE5FB"/>
      </patternFill>
    </fill>
    <fill>
      <patternFill patternType="solid">
        <fgColor rgb="FFF2F4F8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660066"/>
        <bgColor rgb="FF800080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5F8FF"/>
      </patternFill>
    </fill>
    <fill>
      <patternFill patternType="solid">
        <fgColor rgb="FFF5F8FF"/>
      </patternFill>
    </fill>
    <fill>
      <patternFill patternType="solid">
        <fgColor rgb="FFF5F8FF"/>
      </patternFill>
    </fill>
    <fill>
      <patternFill patternType="solid">
        <fgColor rgb="FFD9E3FA"/>
      </patternFill>
    </fill>
    <fill>
      <patternFill patternType="solid">
        <fgColor rgb="FFD9E3FA"/>
      </patternFill>
    </fill>
    <fill>
      <patternFill patternType="solid">
        <fgColor rgb="FF1B2A86"/>
      </patternFill>
    </fill>
    <fill>
      <patternFill patternType="solid">
        <fgColor rgb="FF1B2A86"/>
      </patternFill>
    </fill>
    <fill>
      <patternFill patternType="none"/>
    </fill>
    <fill>
      <patternFill patternType="solid">
        <fgColor rgb="FF1B2A86"/>
      </patternFill>
    </fill>
  </fills>
  <borders count="124">
    <border>
      <left/>
      <right/>
      <top/>
      <bottom/>
      <diagonal/>
    </border>
    <border>
      <left/>
      <right/>
      <top/>
      <bottom style="medium">
        <color rgb="FF2B8A3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2B8A3E"/>
      </left>
      <right/>
      <top/>
      <bottom/>
      <diagonal/>
    </border>
    <border>
      <left/>
      <right/>
      <top/>
      <bottom style="medium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medium">
        <color rgb="FF2B8A3E"/>
      </bottom>
      <diagonal/>
    </border>
    <border>
      <left/>
      <right/>
      <top style="medium">
        <color rgb="FF1B2A86"/>
      </top>
      <bottom/>
      <diagonal/>
    </border>
    <border>
      <left style="thin">
        <color rgb="FF41509F"/>
      </left>
      <right style="thin">
        <color rgb="FF41509F"/>
      </right>
      <top style="thin">
        <color rgb="FF41509F"/>
      </top>
      <bottom style="thin">
        <color rgb="FF41509F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double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medium">
        <color rgb="FFC07A12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medium">
        <color rgb="FF4B547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thick">
        <color rgb="FF003366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rgb="FF003366"/>
      </left>
      <right style="thick">
        <color rgb="FF003366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ck">
        <color rgb="FF003366"/>
      </left>
      <right style="thick">
        <color rgb="FF003366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003366"/>
      </left>
      <right style="thick">
        <color rgb="FF00336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ck">
        <color rgb="FF003366"/>
      </left>
      <right style="thick">
        <color rgb="FF003366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rgb="FF003366"/>
      </left>
      <right style="thick">
        <color rgb="FF003366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rgb="FF003366"/>
      </left>
      <right style="thick">
        <color rgb="FF003366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003366"/>
      </left>
      <right style="thick">
        <color rgb="FF003366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003366"/>
      </left>
      <right style="thick">
        <color rgb="FF003366"/>
      </right>
      <top/>
      <bottom style="thick">
        <color rgb="FF00336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6DAE5"/>
      </left>
      <right style="thin">
        <color rgb="FFD6DAE5"/>
      </right>
      <top style="thin">
        <color rgb="FFD6DAE5"/>
      </top>
      <bottom style="thin">
        <color rgb="FFD6DA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/>
      <right/>
      <top/>
      <bottom/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</borders>
  <cellStyleXfs count="1">
    <xf numFmtId="0" fontId="0" fillId="0" borderId="0"/>
  </cellStyleXfs>
  <cellXfs count="60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top"/>
    </xf>
    <xf numFmtId="0" fontId="17" fillId="6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shrinkToFit="1"/>
    </xf>
    <xf numFmtId="0" fontId="24" fillId="0" borderId="0" xfId="0" applyFont="1"/>
    <xf numFmtId="0" fontId="16" fillId="0" borderId="0" xfId="0" applyFont="1" applyAlignment="1">
      <alignment horizontal="right"/>
    </xf>
    <xf numFmtId="0" fontId="26" fillId="2" borderId="6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left" vertical="center" shrinkToFit="1"/>
    </xf>
    <xf numFmtId="3" fontId="23" fillId="0" borderId="7" xfId="0" applyNumberFormat="1" applyFont="1" applyBorder="1" applyAlignment="1">
      <alignment horizontal="right" vertical="center"/>
    </xf>
    <xf numFmtId="3" fontId="21" fillId="0" borderId="7" xfId="0" applyNumberFormat="1" applyFont="1" applyBorder="1" applyAlignment="1">
      <alignment horizontal="right" vertical="center"/>
    </xf>
    <xf numFmtId="177" fontId="28" fillId="0" borderId="7" xfId="0" applyNumberFormat="1" applyFont="1" applyBorder="1" applyAlignment="1">
      <alignment horizontal="right" vertical="center"/>
    </xf>
    <xf numFmtId="0" fontId="23" fillId="8" borderId="8" xfId="0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left" vertical="center" shrinkToFit="1"/>
    </xf>
    <xf numFmtId="3" fontId="23" fillId="8" borderId="8" xfId="0" applyNumberFormat="1" applyFont="1" applyFill="1" applyBorder="1" applyAlignment="1">
      <alignment horizontal="right" vertical="center"/>
    </xf>
    <xf numFmtId="3" fontId="21" fillId="8" borderId="8" xfId="0" applyNumberFormat="1" applyFont="1" applyFill="1" applyBorder="1" applyAlignment="1">
      <alignment horizontal="right" vertical="center"/>
    </xf>
    <xf numFmtId="177" fontId="28" fillId="8" borderId="8" xfId="0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 shrinkToFit="1"/>
    </xf>
    <xf numFmtId="3" fontId="23" fillId="0" borderId="8" xfId="0" applyNumberFormat="1" applyFont="1" applyBorder="1" applyAlignment="1">
      <alignment horizontal="right" vertical="center"/>
    </xf>
    <xf numFmtId="3" fontId="21" fillId="0" borderId="8" xfId="0" applyNumberFormat="1" applyFont="1" applyBorder="1" applyAlignment="1">
      <alignment horizontal="right" vertical="center"/>
    </xf>
    <xf numFmtId="177" fontId="28" fillId="0" borderId="8" xfId="0" applyNumberFormat="1" applyFont="1" applyBorder="1" applyAlignment="1">
      <alignment horizontal="right" vertical="center"/>
    </xf>
    <xf numFmtId="3" fontId="21" fillId="9" borderId="9" xfId="0" applyNumberFormat="1" applyFont="1" applyFill="1" applyBorder="1" applyAlignment="1">
      <alignment horizontal="right" vertical="center"/>
    </xf>
    <xf numFmtId="0" fontId="21" fillId="9" borderId="9" xfId="0" applyFont="1" applyFill="1" applyBorder="1"/>
    <xf numFmtId="177" fontId="28" fillId="9" borderId="9" xfId="0" applyNumberFormat="1" applyFont="1" applyFill="1" applyBorder="1" applyAlignment="1">
      <alignment horizontal="right" vertical="center"/>
    </xf>
    <xf numFmtId="178" fontId="28" fillId="9" borderId="9" xfId="0" applyNumberFormat="1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3" fontId="23" fillId="10" borderId="8" xfId="0" applyNumberFormat="1" applyFont="1" applyFill="1" applyBorder="1" applyAlignment="1">
      <alignment horizontal="right" vertical="center"/>
    </xf>
    <xf numFmtId="0" fontId="23" fillId="10" borderId="8" xfId="0" applyFont="1" applyFill="1" applyBorder="1" applyAlignment="1">
      <alignment horizontal="right" vertical="center"/>
    </xf>
    <xf numFmtId="0" fontId="23" fillId="10" borderId="8" xfId="0" applyFont="1" applyFill="1" applyBorder="1"/>
    <xf numFmtId="0" fontId="29" fillId="11" borderId="10" xfId="0" applyFont="1" applyFill="1" applyBorder="1" applyAlignment="1">
      <alignment horizontal="center" vertical="center"/>
    </xf>
    <xf numFmtId="3" fontId="29" fillId="11" borderId="10" xfId="0" applyNumberFormat="1" applyFont="1" applyFill="1" applyBorder="1" applyAlignment="1">
      <alignment horizontal="right" vertical="center"/>
    </xf>
    <xf numFmtId="0" fontId="29" fillId="11" borderId="10" xfId="0" applyFont="1" applyFill="1" applyBorder="1" applyAlignment="1">
      <alignment horizontal="right" vertical="center"/>
    </xf>
    <xf numFmtId="0" fontId="29" fillId="11" borderId="10" xfId="0" applyFont="1" applyFill="1" applyBorder="1"/>
    <xf numFmtId="0" fontId="6" fillId="2" borderId="9" xfId="0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right" vertical="center"/>
    </xf>
    <xf numFmtId="0" fontId="6" fillId="2" borderId="9" xfId="0" applyFont="1" applyFill="1" applyBorder="1"/>
    <xf numFmtId="0" fontId="0" fillId="0" borderId="11" xfId="0" applyBorder="1"/>
    <xf numFmtId="0" fontId="31" fillId="12" borderId="12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32" fillId="13" borderId="7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left" vertical="center" shrinkToFit="1"/>
    </xf>
    <xf numFmtId="1" fontId="18" fillId="14" borderId="7" xfId="0" applyNumberFormat="1" applyFont="1" applyFill="1" applyBorder="1"/>
    <xf numFmtId="1" fontId="18" fillId="13" borderId="7" xfId="0" applyNumberFormat="1" applyFont="1" applyFill="1" applyBorder="1"/>
    <xf numFmtId="0" fontId="18" fillId="13" borderId="7" xfId="0" applyFont="1" applyFill="1" applyBorder="1"/>
    <xf numFmtId="0" fontId="13" fillId="13" borderId="7" xfId="0" applyFont="1" applyFill="1" applyBorder="1" applyAlignment="1">
      <alignment vertical="center" shrinkToFit="1"/>
    </xf>
    <xf numFmtId="0" fontId="32" fillId="13" borderId="8" xfId="0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left" vertical="center" shrinkToFit="1"/>
    </xf>
    <xf numFmtId="179" fontId="18" fillId="14" borderId="8" xfId="0" applyNumberFormat="1" applyFont="1" applyFill="1" applyBorder="1"/>
    <xf numFmtId="0" fontId="18" fillId="13" borderId="8" xfId="0" applyFont="1" applyFill="1" applyBorder="1"/>
    <xf numFmtId="0" fontId="13" fillId="13" borderId="8" xfId="0" applyFont="1" applyFill="1" applyBorder="1" applyAlignment="1">
      <alignment vertical="center" shrinkToFit="1"/>
    </xf>
    <xf numFmtId="1" fontId="18" fillId="14" borderId="8" xfId="0" applyNumberFormat="1" applyFont="1" applyFill="1" applyBorder="1"/>
    <xf numFmtId="180" fontId="18" fillId="14" borderId="8" xfId="0" applyNumberFormat="1" applyFont="1" applyFill="1" applyBorder="1"/>
    <xf numFmtId="0" fontId="17" fillId="13" borderId="8" xfId="0" applyFont="1" applyFill="1" applyBorder="1" applyAlignment="1">
      <alignment horizontal="left" vertical="center" shrinkToFit="1"/>
    </xf>
    <xf numFmtId="4" fontId="17" fillId="15" borderId="8" xfId="0" applyNumberFormat="1" applyFont="1" applyFill="1" applyBorder="1"/>
    <xf numFmtId="0" fontId="17" fillId="13" borderId="8" xfId="0" applyFont="1" applyFill="1" applyBorder="1"/>
    <xf numFmtId="0" fontId="32" fillId="13" borderId="13" xfId="0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left" vertical="center" shrinkToFit="1"/>
    </xf>
    <xf numFmtId="4" fontId="17" fillId="15" borderId="13" xfId="0" applyNumberFormat="1" applyFont="1" applyFill="1" applyBorder="1"/>
    <xf numFmtId="0" fontId="17" fillId="13" borderId="13" xfId="0" applyFont="1" applyFill="1" applyBorder="1"/>
    <xf numFmtId="0" fontId="13" fillId="13" borderId="13" xfId="0" applyFont="1" applyFill="1" applyBorder="1" applyAlignment="1">
      <alignment vertical="center" shrinkToFit="1"/>
    </xf>
    <xf numFmtId="0" fontId="33" fillId="9" borderId="14" xfId="0" applyFont="1" applyFill="1" applyBorder="1"/>
    <xf numFmtId="0" fontId="18" fillId="10" borderId="14" xfId="0" applyFont="1" applyFill="1" applyBorder="1" applyAlignment="1">
      <alignment horizontal="left" vertical="center" indent="1"/>
    </xf>
    <xf numFmtId="181" fontId="18" fillId="10" borderId="14" xfId="0" applyNumberFormat="1" applyFont="1" applyFill="1" applyBorder="1"/>
    <xf numFmtId="0" fontId="13" fillId="10" borderId="14" xfId="0" applyFont="1" applyFill="1" applyBorder="1" applyAlignment="1">
      <alignment vertical="center" shrinkToFit="1"/>
    </xf>
    <xf numFmtId="0" fontId="33" fillId="9" borderId="8" xfId="0" applyFont="1" applyFill="1" applyBorder="1"/>
    <xf numFmtId="0" fontId="18" fillId="10" borderId="8" xfId="0" applyFont="1" applyFill="1" applyBorder="1" applyAlignment="1">
      <alignment horizontal="left" vertical="center" indent="1"/>
    </xf>
    <xf numFmtId="181" fontId="18" fillId="10" borderId="8" xfId="0" applyNumberFormat="1" applyFont="1" applyFill="1" applyBorder="1"/>
    <xf numFmtId="0" fontId="13" fillId="10" borderId="8" xfId="0" applyFont="1" applyFill="1" applyBorder="1" applyAlignment="1">
      <alignment vertical="center" shrinkToFit="1"/>
    </xf>
    <xf numFmtId="0" fontId="21" fillId="9" borderId="15" xfId="0" applyFont="1" applyFill="1" applyBorder="1"/>
    <xf numFmtId="181" fontId="21" fillId="9" borderId="15" xfId="0" applyNumberFormat="1" applyFont="1" applyFill="1" applyBorder="1"/>
    <xf numFmtId="0" fontId="13" fillId="9" borderId="15" xfId="0" applyFont="1" applyFill="1" applyBorder="1" applyAlignment="1">
      <alignment vertical="center" shrinkToFit="1"/>
    </xf>
    <xf numFmtId="0" fontId="34" fillId="11" borderId="16" xfId="0" applyFont="1" applyFill="1" applyBorder="1"/>
    <xf numFmtId="0" fontId="18" fillId="16" borderId="16" xfId="0" applyFont="1" applyFill="1" applyBorder="1" applyAlignment="1">
      <alignment horizontal="left" vertical="center" indent="1"/>
    </xf>
    <xf numFmtId="181" fontId="18" fillId="16" borderId="16" xfId="0" applyNumberFormat="1" applyFont="1" applyFill="1" applyBorder="1"/>
    <xf numFmtId="0" fontId="13" fillId="16" borderId="16" xfId="0" applyFont="1" applyFill="1" applyBorder="1" applyAlignment="1">
      <alignment vertical="center" shrinkToFit="1"/>
    </xf>
    <xf numFmtId="0" fontId="34" fillId="11" borderId="8" xfId="0" applyFont="1" applyFill="1" applyBorder="1"/>
    <xf numFmtId="0" fontId="18" fillId="16" borderId="8" xfId="0" applyFont="1" applyFill="1" applyBorder="1" applyAlignment="1">
      <alignment horizontal="left" vertical="center" indent="1"/>
    </xf>
    <xf numFmtId="181" fontId="18" fillId="16" borderId="8" xfId="0" applyNumberFormat="1" applyFont="1" applyFill="1" applyBorder="1"/>
    <xf numFmtId="0" fontId="13" fillId="16" borderId="8" xfId="0" applyFont="1" applyFill="1" applyBorder="1" applyAlignment="1">
      <alignment vertical="center" shrinkToFit="1"/>
    </xf>
    <xf numFmtId="0" fontId="21" fillId="11" borderId="10" xfId="0" applyFont="1" applyFill="1" applyBorder="1"/>
    <xf numFmtId="181" fontId="21" fillId="11" borderId="10" xfId="0" applyNumberFormat="1" applyFont="1" applyFill="1" applyBorder="1"/>
    <xf numFmtId="0" fontId="13" fillId="11" borderId="10" xfId="0" applyFont="1" applyFill="1" applyBorder="1" applyAlignment="1">
      <alignment vertical="center" shrinkToFit="1"/>
    </xf>
    <xf numFmtId="0" fontId="34" fillId="17" borderId="8" xfId="0" applyFont="1" applyFill="1" applyBorder="1"/>
    <xf numFmtId="0" fontId="21" fillId="17" borderId="17" xfId="0" applyFont="1" applyFill="1" applyBorder="1"/>
    <xf numFmtId="181" fontId="21" fillId="17" borderId="17" xfId="0" applyNumberFormat="1" applyFont="1" applyFill="1" applyBorder="1"/>
    <xf numFmtId="0" fontId="13" fillId="17" borderId="17" xfId="0" applyFont="1" applyFill="1" applyBorder="1" applyAlignment="1">
      <alignment vertical="center" shrinkToFit="1"/>
    </xf>
    <xf numFmtId="0" fontId="35" fillId="18" borderId="18" xfId="0" applyFont="1" applyFill="1" applyBorder="1"/>
    <xf numFmtId="0" fontId="18" fillId="19" borderId="18" xfId="0" applyFont="1" applyFill="1" applyBorder="1" applyAlignment="1">
      <alignment horizontal="left" vertical="center" indent="1"/>
    </xf>
    <xf numFmtId="179" fontId="18" fillId="14" borderId="18" xfId="0" applyNumberFormat="1" applyFont="1" applyFill="1" applyBorder="1"/>
    <xf numFmtId="181" fontId="18" fillId="19" borderId="18" xfId="0" applyNumberFormat="1" applyFont="1" applyFill="1" applyBorder="1"/>
    <xf numFmtId="0" fontId="13" fillId="19" borderId="18" xfId="0" applyFont="1" applyFill="1" applyBorder="1" applyAlignment="1">
      <alignment vertical="center" shrinkToFit="1"/>
    </xf>
    <xf numFmtId="0" fontId="35" fillId="18" borderId="8" xfId="0" applyFont="1" applyFill="1" applyBorder="1"/>
    <xf numFmtId="0" fontId="18" fillId="19" borderId="8" xfId="0" applyFont="1" applyFill="1" applyBorder="1" applyAlignment="1">
      <alignment horizontal="left" vertical="center" indent="1"/>
    </xf>
    <xf numFmtId="181" fontId="18" fillId="19" borderId="8" xfId="0" applyNumberFormat="1" applyFont="1" applyFill="1" applyBorder="1"/>
    <xf numFmtId="0" fontId="13" fillId="19" borderId="8" xfId="0" applyFont="1" applyFill="1" applyBorder="1" applyAlignment="1">
      <alignment vertical="center" shrinkToFit="1"/>
    </xf>
    <xf numFmtId="181" fontId="18" fillId="14" borderId="8" xfId="0" applyNumberFormat="1" applyFont="1" applyFill="1" applyBorder="1"/>
    <xf numFmtId="0" fontId="21" fillId="18" borderId="19" xfId="0" applyFont="1" applyFill="1" applyBorder="1"/>
    <xf numFmtId="181" fontId="21" fillId="18" borderId="19" xfId="0" applyNumberFormat="1" applyFont="1" applyFill="1" applyBorder="1"/>
    <xf numFmtId="0" fontId="13" fillId="18" borderId="19" xfId="0" applyFont="1" applyFill="1" applyBorder="1" applyAlignment="1">
      <alignment vertical="center" shrinkToFit="1"/>
    </xf>
    <xf numFmtId="0" fontId="36" fillId="20" borderId="20" xfId="0" applyFont="1" applyFill="1" applyBorder="1"/>
    <xf numFmtId="0" fontId="21" fillId="20" borderId="21" xfId="0" applyFont="1" applyFill="1" applyBorder="1"/>
    <xf numFmtId="181" fontId="21" fillId="20" borderId="21" xfId="0" applyNumberFormat="1" applyFont="1" applyFill="1" applyBorder="1"/>
    <xf numFmtId="0" fontId="13" fillId="20" borderId="21" xfId="0" applyFont="1" applyFill="1" applyBorder="1" applyAlignment="1">
      <alignment vertical="center" shrinkToFit="1"/>
    </xf>
    <xf numFmtId="0" fontId="36" fillId="20" borderId="8" xfId="0" applyFont="1" applyFill="1" applyBorder="1"/>
    <xf numFmtId="0" fontId="18" fillId="21" borderId="8" xfId="0" applyFont="1" applyFill="1" applyBorder="1" applyAlignment="1">
      <alignment horizontal="left" vertical="center" indent="1"/>
    </xf>
    <xf numFmtId="181" fontId="18" fillId="21" borderId="8" xfId="0" applyNumberFormat="1" applyFont="1" applyFill="1" applyBorder="1"/>
    <xf numFmtId="0" fontId="13" fillId="21" borderId="8" xfId="0" applyFont="1" applyFill="1" applyBorder="1" applyAlignment="1">
      <alignment vertical="center" shrinkToFit="1"/>
    </xf>
    <xf numFmtId="0" fontId="36" fillId="22" borderId="8" xfId="0" applyFont="1" applyFill="1" applyBorder="1"/>
    <xf numFmtId="0" fontId="21" fillId="22" borderId="17" xfId="0" applyFont="1" applyFill="1" applyBorder="1"/>
    <xf numFmtId="181" fontId="21" fillId="22" borderId="17" xfId="0" applyNumberFormat="1" applyFont="1" applyFill="1" applyBorder="1"/>
    <xf numFmtId="0" fontId="13" fillId="22" borderId="17" xfId="0" applyFont="1" applyFill="1" applyBorder="1" applyAlignment="1">
      <alignment vertical="center" shrinkToFit="1"/>
    </xf>
    <xf numFmtId="0" fontId="0" fillId="2" borderId="9" xfId="0" applyFill="1" applyBorder="1"/>
    <xf numFmtId="0" fontId="26" fillId="2" borderId="9" xfId="0" applyFont="1" applyFill="1" applyBorder="1"/>
    <xf numFmtId="181" fontId="26" fillId="2" borderId="9" xfId="0" applyNumberFormat="1" applyFont="1" applyFill="1" applyBorder="1"/>
    <xf numFmtId="0" fontId="37" fillId="2" borderId="9" xfId="0" applyFont="1" applyFill="1" applyBorder="1" applyAlignment="1">
      <alignment vertical="center" shrinkToFit="1"/>
    </xf>
    <xf numFmtId="0" fontId="38" fillId="0" borderId="0" xfId="0" applyFont="1"/>
    <xf numFmtId="0" fontId="18" fillId="4" borderId="8" xfId="0" applyFont="1" applyFill="1" applyBorder="1" applyAlignment="1">
      <alignment vertical="center" shrinkToFit="1"/>
    </xf>
    <xf numFmtId="3" fontId="5" fillId="4" borderId="8" xfId="0" applyNumberFormat="1" applyFont="1" applyFill="1" applyBorder="1" applyAlignment="1">
      <alignment horizontal="right"/>
    </xf>
    <xf numFmtId="182" fontId="5" fillId="14" borderId="8" xfId="0" applyNumberFormat="1" applyFont="1" applyFill="1" applyBorder="1" applyAlignment="1">
      <alignment horizontal="right"/>
    </xf>
    <xf numFmtId="10" fontId="5" fillId="14" borderId="8" xfId="0" applyNumberFormat="1" applyFont="1" applyFill="1" applyBorder="1" applyAlignment="1">
      <alignment horizontal="right"/>
    </xf>
    <xf numFmtId="183" fontId="5" fillId="14" borderId="8" xfId="0" applyNumberFormat="1" applyFont="1" applyFill="1" applyBorder="1" applyAlignment="1">
      <alignment horizontal="right"/>
    </xf>
    <xf numFmtId="184" fontId="5" fillId="14" borderId="8" xfId="0" applyNumberFormat="1" applyFont="1" applyFill="1" applyBorder="1" applyAlignment="1">
      <alignment horizontal="right"/>
    </xf>
    <xf numFmtId="1" fontId="5" fillId="14" borderId="8" xfId="0" applyNumberFormat="1" applyFont="1" applyFill="1" applyBorder="1" applyAlignment="1">
      <alignment horizontal="right"/>
    </xf>
    <xf numFmtId="3" fontId="5" fillId="14" borderId="8" xfId="0" applyNumberFormat="1" applyFont="1" applyFill="1" applyBorder="1" applyAlignment="1">
      <alignment horizontal="right"/>
    </xf>
    <xf numFmtId="180" fontId="5" fillId="14" borderId="8" xfId="0" applyNumberFormat="1" applyFont="1" applyFill="1" applyBorder="1" applyAlignment="1">
      <alignment horizontal="right"/>
    </xf>
    <xf numFmtId="9" fontId="5" fillId="14" borderId="8" xfId="0" applyNumberFormat="1" applyFont="1" applyFill="1" applyBorder="1" applyAlignment="1">
      <alignment horizontal="right"/>
    </xf>
    <xf numFmtId="185" fontId="5" fillId="14" borderId="8" xfId="0" applyNumberFormat="1" applyFont="1" applyFill="1" applyBorder="1" applyAlignment="1">
      <alignment horizontal="right"/>
    </xf>
    <xf numFmtId="186" fontId="5" fillId="14" borderId="8" xfId="0" applyNumberFormat="1" applyFont="1" applyFill="1" applyBorder="1" applyAlignment="1">
      <alignment horizontal="right"/>
    </xf>
    <xf numFmtId="187" fontId="5" fillId="14" borderId="8" xfId="0" applyNumberFormat="1" applyFont="1" applyFill="1" applyBorder="1" applyAlignment="1">
      <alignment horizontal="right"/>
    </xf>
    <xf numFmtId="0" fontId="18" fillId="4" borderId="8" xfId="0" applyFont="1" applyFill="1" applyBorder="1"/>
    <xf numFmtId="1" fontId="5" fillId="4" borderId="8" xfId="0" applyNumberFormat="1" applyFont="1" applyFill="1" applyBorder="1" applyAlignment="1">
      <alignment horizontal="right"/>
    </xf>
    <xf numFmtId="0" fontId="13" fillId="0" borderId="0" xfId="0" applyFont="1"/>
    <xf numFmtId="3" fontId="18" fillId="0" borderId="8" xfId="0" applyNumberFormat="1" applyFont="1" applyBorder="1" applyAlignment="1">
      <alignment horizontal="right" vertical="center"/>
    </xf>
    <xf numFmtId="3" fontId="17" fillId="5" borderId="8" xfId="0" applyNumberFormat="1" applyFont="1" applyFill="1" applyBorder="1" applyAlignment="1">
      <alignment horizontal="right" vertical="center"/>
    </xf>
    <xf numFmtId="188" fontId="18" fillId="0" borderId="8" xfId="0" applyNumberFormat="1" applyFont="1" applyBorder="1" applyAlignment="1">
      <alignment horizontal="right" vertical="center"/>
    </xf>
    <xf numFmtId="189" fontId="18" fillId="0" borderId="8" xfId="0" applyNumberFormat="1" applyFont="1" applyBorder="1" applyAlignment="1">
      <alignment horizontal="right" vertical="center"/>
    </xf>
    <xf numFmtId="180" fontId="18" fillId="0" borderId="8" xfId="0" applyNumberFormat="1" applyFont="1" applyBorder="1" applyAlignment="1">
      <alignment horizontal="right" vertical="center"/>
    </xf>
    <xf numFmtId="3" fontId="17" fillId="23" borderId="9" xfId="0" applyNumberFormat="1" applyFont="1" applyFill="1" applyBorder="1" applyAlignment="1">
      <alignment horizontal="right" vertical="center"/>
    </xf>
    <xf numFmtId="188" fontId="17" fillId="23" borderId="9" xfId="0" applyNumberFormat="1" applyFont="1" applyFill="1" applyBorder="1" applyAlignment="1">
      <alignment horizontal="right" vertical="center"/>
    </xf>
    <xf numFmtId="189" fontId="17" fillId="23" borderId="9" xfId="0" applyNumberFormat="1" applyFont="1" applyFill="1" applyBorder="1" applyAlignment="1">
      <alignment horizontal="right" vertical="center"/>
    </xf>
    <xf numFmtId="0" fontId="18" fillId="23" borderId="9" xfId="0" applyFont="1" applyFill="1" applyBorder="1" applyAlignment="1">
      <alignment horizontal="right" vertical="center"/>
    </xf>
    <xf numFmtId="0" fontId="18" fillId="0" borderId="8" xfId="0" applyFont="1" applyBorder="1" applyAlignment="1">
      <alignment horizontal="right" vertical="center"/>
    </xf>
    <xf numFmtId="3" fontId="31" fillId="2" borderId="9" xfId="0" applyNumberFormat="1" applyFont="1" applyFill="1" applyBorder="1" applyAlignment="1">
      <alignment horizontal="right" vertical="center"/>
    </xf>
    <xf numFmtId="190" fontId="31" fillId="2" borderId="9" xfId="0" applyNumberFormat="1" applyFont="1" applyFill="1" applyBorder="1" applyAlignment="1">
      <alignment horizontal="right" vertical="center"/>
    </xf>
    <xf numFmtId="191" fontId="31" fillId="2" borderId="9" xfId="0" applyNumberFormat="1" applyFont="1" applyFill="1" applyBorder="1" applyAlignment="1">
      <alignment horizontal="right" vertical="center"/>
    </xf>
    <xf numFmtId="0" fontId="39" fillId="2" borderId="9" xfId="0" applyFont="1" applyFill="1" applyBorder="1" applyAlignment="1">
      <alignment horizontal="right" vertical="center"/>
    </xf>
    <xf numFmtId="182" fontId="18" fillId="0" borderId="8" xfId="0" applyNumberFormat="1" applyFont="1" applyBorder="1" applyAlignment="1">
      <alignment horizontal="right" vertical="center"/>
    </xf>
    <xf numFmtId="182" fontId="17" fillId="5" borderId="8" xfId="0" applyNumberFormat="1" applyFont="1" applyFill="1" applyBorder="1" applyAlignment="1">
      <alignment horizontal="right" vertical="center"/>
    </xf>
    <xf numFmtId="0" fontId="34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193" fontId="18" fillId="0" borderId="8" xfId="0" applyNumberFormat="1" applyFont="1" applyBorder="1" applyAlignment="1">
      <alignment horizontal="right" vertical="center"/>
    </xf>
    <xf numFmtId="0" fontId="33" fillId="9" borderId="14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left" vertical="center"/>
    </xf>
    <xf numFmtId="3" fontId="18" fillId="10" borderId="14" xfId="0" applyNumberFormat="1" applyFont="1" applyFill="1" applyBorder="1" applyAlignment="1">
      <alignment horizontal="right" vertical="center"/>
    </xf>
    <xf numFmtId="3" fontId="17" fillId="5" borderId="14" xfId="0" applyNumberFormat="1" applyFont="1" applyFill="1" applyBorder="1" applyAlignment="1">
      <alignment horizontal="right" vertical="center"/>
    </xf>
    <xf numFmtId="188" fontId="18" fillId="10" borderId="14" xfId="0" applyNumberFormat="1" applyFont="1" applyFill="1" applyBorder="1" applyAlignment="1">
      <alignment horizontal="right" vertical="center"/>
    </xf>
    <xf numFmtId="189" fontId="18" fillId="10" borderId="14" xfId="0" applyNumberFormat="1" applyFont="1" applyFill="1" applyBorder="1" applyAlignment="1">
      <alignment horizontal="right" vertical="center"/>
    </xf>
    <xf numFmtId="0" fontId="33" fillId="9" borderId="8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left" vertical="center"/>
    </xf>
    <xf numFmtId="3" fontId="18" fillId="10" borderId="8" xfId="0" applyNumberFormat="1" applyFont="1" applyFill="1" applyBorder="1" applyAlignment="1">
      <alignment horizontal="right" vertical="center"/>
    </xf>
    <xf numFmtId="188" fontId="18" fillId="10" borderId="8" xfId="0" applyNumberFormat="1" applyFont="1" applyFill="1" applyBorder="1" applyAlignment="1">
      <alignment horizontal="right" vertical="center"/>
    </xf>
    <xf numFmtId="189" fontId="18" fillId="10" borderId="8" xfId="0" applyNumberFormat="1" applyFont="1" applyFill="1" applyBorder="1" applyAlignment="1">
      <alignment horizontal="right" vertical="center"/>
    </xf>
    <xf numFmtId="0" fontId="21" fillId="9" borderId="15" xfId="0" applyFont="1" applyFill="1" applyBorder="1" applyAlignment="1">
      <alignment horizontal="left" vertical="center"/>
    </xf>
    <xf numFmtId="3" fontId="21" fillId="9" borderId="15" xfId="0" applyNumberFormat="1" applyFont="1" applyFill="1" applyBorder="1" applyAlignment="1">
      <alignment horizontal="right" vertical="center"/>
    </xf>
    <xf numFmtId="188" fontId="21" fillId="9" borderId="15" xfId="0" applyNumberFormat="1" applyFont="1" applyFill="1" applyBorder="1" applyAlignment="1">
      <alignment horizontal="right" vertical="center"/>
    </xf>
    <xf numFmtId="189" fontId="21" fillId="9" borderId="15" xfId="0" applyNumberFormat="1" applyFont="1" applyFill="1" applyBorder="1" applyAlignment="1">
      <alignment horizontal="right" vertical="center"/>
    </xf>
    <xf numFmtId="0" fontId="34" fillId="11" borderId="16" xfId="0" applyFont="1" applyFill="1" applyBorder="1" applyAlignment="1">
      <alignment horizontal="center" vertical="center"/>
    </xf>
    <xf numFmtId="0" fontId="18" fillId="16" borderId="16" xfId="0" applyFont="1" applyFill="1" applyBorder="1" applyAlignment="1">
      <alignment horizontal="left" vertical="center"/>
    </xf>
    <xf numFmtId="3" fontId="18" fillId="16" borderId="16" xfId="0" applyNumberFormat="1" applyFont="1" applyFill="1" applyBorder="1" applyAlignment="1">
      <alignment horizontal="right" vertical="center"/>
    </xf>
    <xf numFmtId="3" fontId="17" fillId="5" borderId="16" xfId="0" applyNumberFormat="1" applyFont="1" applyFill="1" applyBorder="1" applyAlignment="1">
      <alignment horizontal="right" vertical="center"/>
    </xf>
    <xf numFmtId="188" fontId="18" fillId="16" borderId="16" xfId="0" applyNumberFormat="1" applyFont="1" applyFill="1" applyBorder="1" applyAlignment="1">
      <alignment horizontal="right" vertical="center"/>
    </xf>
    <xf numFmtId="189" fontId="18" fillId="16" borderId="16" xfId="0" applyNumberFormat="1" applyFont="1" applyFill="1" applyBorder="1" applyAlignment="1">
      <alignment horizontal="right" vertical="center"/>
    </xf>
    <xf numFmtId="0" fontId="34" fillId="11" borderId="8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horizontal="left" vertical="center"/>
    </xf>
    <xf numFmtId="3" fontId="18" fillId="16" borderId="8" xfId="0" applyNumberFormat="1" applyFont="1" applyFill="1" applyBorder="1" applyAlignment="1">
      <alignment horizontal="right" vertical="center"/>
    </xf>
    <xf numFmtId="188" fontId="18" fillId="16" borderId="8" xfId="0" applyNumberFormat="1" applyFont="1" applyFill="1" applyBorder="1" applyAlignment="1">
      <alignment horizontal="right" vertical="center"/>
    </xf>
    <xf numFmtId="189" fontId="18" fillId="16" borderId="8" xfId="0" applyNumberFormat="1" applyFont="1" applyFill="1" applyBorder="1" applyAlignment="1">
      <alignment horizontal="right" vertical="center"/>
    </xf>
    <xf numFmtId="0" fontId="21" fillId="11" borderId="10" xfId="0" applyFont="1" applyFill="1" applyBorder="1" applyAlignment="1">
      <alignment horizontal="left" vertical="center"/>
    </xf>
    <xf numFmtId="3" fontId="21" fillId="11" borderId="10" xfId="0" applyNumberFormat="1" applyFont="1" applyFill="1" applyBorder="1" applyAlignment="1">
      <alignment horizontal="right" vertical="center"/>
    </xf>
    <xf numFmtId="188" fontId="21" fillId="11" borderId="10" xfId="0" applyNumberFormat="1" applyFont="1" applyFill="1" applyBorder="1" applyAlignment="1">
      <alignment horizontal="right" vertical="center"/>
    </xf>
    <xf numFmtId="189" fontId="21" fillId="11" borderId="10" xfId="0" applyNumberFormat="1" applyFont="1" applyFill="1" applyBorder="1" applyAlignment="1">
      <alignment horizontal="right" vertical="center"/>
    </xf>
    <xf numFmtId="0" fontId="34" fillId="17" borderId="8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left" vertical="center"/>
    </xf>
    <xf numFmtId="3" fontId="21" fillId="17" borderId="17" xfId="0" applyNumberFormat="1" applyFont="1" applyFill="1" applyBorder="1" applyAlignment="1">
      <alignment horizontal="right" vertical="center"/>
    </xf>
    <xf numFmtId="188" fontId="21" fillId="17" borderId="17" xfId="0" applyNumberFormat="1" applyFont="1" applyFill="1" applyBorder="1" applyAlignment="1">
      <alignment horizontal="right" vertical="center"/>
    </xf>
    <xf numFmtId="189" fontId="21" fillId="17" borderId="17" xfId="0" applyNumberFormat="1" applyFont="1" applyFill="1" applyBorder="1" applyAlignment="1">
      <alignment horizontal="right" vertical="center"/>
    </xf>
    <xf numFmtId="0" fontId="35" fillId="18" borderId="18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left" vertical="center"/>
    </xf>
    <xf numFmtId="3" fontId="18" fillId="19" borderId="18" xfId="0" applyNumberFormat="1" applyFont="1" applyFill="1" applyBorder="1" applyAlignment="1">
      <alignment horizontal="right" vertical="center"/>
    </xf>
    <xf numFmtId="3" fontId="17" fillId="5" borderId="18" xfId="0" applyNumberFormat="1" applyFont="1" applyFill="1" applyBorder="1" applyAlignment="1">
      <alignment horizontal="right" vertical="center"/>
    </xf>
    <xf numFmtId="188" fontId="18" fillId="19" borderId="18" xfId="0" applyNumberFormat="1" applyFont="1" applyFill="1" applyBorder="1" applyAlignment="1">
      <alignment horizontal="right" vertical="center"/>
    </xf>
    <xf numFmtId="189" fontId="18" fillId="19" borderId="18" xfId="0" applyNumberFormat="1" applyFont="1" applyFill="1" applyBorder="1" applyAlignment="1">
      <alignment horizontal="right" vertical="center"/>
    </xf>
    <xf numFmtId="0" fontId="35" fillId="18" borderId="8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left" vertical="center"/>
    </xf>
    <xf numFmtId="3" fontId="18" fillId="19" borderId="8" xfId="0" applyNumberFormat="1" applyFont="1" applyFill="1" applyBorder="1" applyAlignment="1">
      <alignment horizontal="right" vertical="center"/>
    </xf>
    <xf numFmtId="188" fontId="18" fillId="19" borderId="8" xfId="0" applyNumberFormat="1" applyFont="1" applyFill="1" applyBorder="1" applyAlignment="1">
      <alignment horizontal="right" vertical="center"/>
    </xf>
    <xf numFmtId="189" fontId="18" fillId="19" borderId="8" xfId="0" applyNumberFormat="1" applyFont="1" applyFill="1" applyBorder="1" applyAlignment="1">
      <alignment horizontal="right" vertical="center"/>
    </xf>
    <xf numFmtId="0" fontId="21" fillId="18" borderId="19" xfId="0" applyFont="1" applyFill="1" applyBorder="1" applyAlignment="1">
      <alignment horizontal="left" vertical="center"/>
    </xf>
    <xf numFmtId="3" fontId="21" fillId="18" borderId="19" xfId="0" applyNumberFormat="1" applyFont="1" applyFill="1" applyBorder="1" applyAlignment="1">
      <alignment horizontal="right" vertical="center"/>
    </xf>
    <xf numFmtId="188" fontId="21" fillId="18" borderId="19" xfId="0" applyNumberFormat="1" applyFont="1" applyFill="1" applyBorder="1" applyAlignment="1">
      <alignment horizontal="right" vertical="center"/>
    </xf>
    <xf numFmtId="189" fontId="21" fillId="18" borderId="19" xfId="0" applyNumberFormat="1" applyFont="1" applyFill="1" applyBorder="1" applyAlignment="1">
      <alignment horizontal="right" vertical="center"/>
    </xf>
    <xf numFmtId="0" fontId="36" fillId="20" borderId="20" xfId="0" applyFont="1" applyFill="1" applyBorder="1" applyAlignment="1">
      <alignment horizontal="center" vertical="center"/>
    </xf>
    <xf numFmtId="0" fontId="21" fillId="20" borderId="21" xfId="0" applyFont="1" applyFill="1" applyBorder="1" applyAlignment="1">
      <alignment horizontal="left" vertical="center"/>
    </xf>
    <xf numFmtId="3" fontId="21" fillId="20" borderId="21" xfId="0" applyNumberFormat="1" applyFont="1" applyFill="1" applyBorder="1" applyAlignment="1">
      <alignment horizontal="right" vertical="center"/>
    </xf>
    <xf numFmtId="188" fontId="21" fillId="20" borderId="21" xfId="0" applyNumberFormat="1" applyFont="1" applyFill="1" applyBorder="1" applyAlignment="1">
      <alignment horizontal="right" vertical="center"/>
    </xf>
    <xf numFmtId="189" fontId="21" fillId="20" borderId="21" xfId="0" applyNumberFormat="1" applyFont="1" applyFill="1" applyBorder="1" applyAlignment="1">
      <alignment horizontal="right" vertical="center"/>
    </xf>
    <xf numFmtId="0" fontId="36" fillId="20" borderId="8" xfId="0" applyFont="1" applyFill="1" applyBorder="1" applyAlignment="1">
      <alignment horizontal="center" vertical="center"/>
    </xf>
    <xf numFmtId="0" fontId="18" fillId="21" borderId="8" xfId="0" applyFont="1" applyFill="1" applyBorder="1" applyAlignment="1">
      <alignment horizontal="left" vertical="center"/>
    </xf>
    <xf numFmtId="3" fontId="18" fillId="21" borderId="8" xfId="0" applyNumberFormat="1" applyFont="1" applyFill="1" applyBorder="1" applyAlignment="1">
      <alignment horizontal="right" vertical="center"/>
    </xf>
    <xf numFmtId="188" fontId="18" fillId="21" borderId="8" xfId="0" applyNumberFormat="1" applyFont="1" applyFill="1" applyBorder="1" applyAlignment="1">
      <alignment horizontal="right" vertical="center"/>
    </xf>
    <xf numFmtId="189" fontId="18" fillId="21" borderId="8" xfId="0" applyNumberFormat="1" applyFont="1" applyFill="1" applyBorder="1" applyAlignment="1">
      <alignment horizontal="right" vertical="center"/>
    </xf>
    <xf numFmtId="0" fontId="36" fillId="22" borderId="8" xfId="0" applyFont="1" applyFill="1" applyBorder="1" applyAlignment="1">
      <alignment horizontal="center" vertical="center"/>
    </xf>
    <xf numFmtId="0" fontId="21" fillId="22" borderId="17" xfId="0" applyFont="1" applyFill="1" applyBorder="1" applyAlignment="1">
      <alignment horizontal="left" vertical="center"/>
    </xf>
    <xf numFmtId="3" fontId="21" fillId="22" borderId="17" xfId="0" applyNumberFormat="1" applyFont="1" applyFill="1" applyBorder="1" applyAlignment="1">
      <alignment horizontal="right" vertical="center"/>
    </xf>
    <xf numFmtId="188" fontId="21" fillId="22" borderId="17" xfId="0" applyNumberFormat="1" applyFont="1" applyFill="1" applyBorder="1" applyAlignment="1">
      <alignment horizontal="right" vertical="center"/>
    </xf>
    <xf numFmtId="189" fontId="21" fillId="22" borderId="17" xfId="0" applyNumberFormat="1" applyFont="1" applyFill="1" applyBorder="1" applyAlignment="1">
      <alignment horizontal="right" vertical="center"/>
    </xf>
    <xf numFmtId="0" fontId="31" fillId="2" borderId="9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left" vertical="center"/>
    </xf>
    <xf numFmtId="3" fontId="26" fillId="2" borderId="9" xfId="0" applyNumberFormat="1" applyFont="1" applyFill="1" applyBorder="1" applyAlignment="1">
      <alignment horizontal="right" vertical="center"/>
    </xf>
    <xf numFmtId="190" fontId="26" fillId="2" borderId="9" xfId="0" applyNumberFormat="1" applyFont="1" applyFill="1" applyBorder="1" applyAlignment="1">
      <alignment horizontal="right" vertical="center"/>
    </xf>
    <xf numFmtId="191" fontId="26" fillId="2" borderId="9" xfId="0" applyNumberFormat="1" applyFont="1" applyFill="1" applyBorder="1" applyAlignment="1">
      <alignment horizontal="right" vertical="center"/>
    </xf>
    <xf numFmtId="0" fontId="6" fillId="2" borderId="6" xfId="0" applyFont="1" applyFill="1" applyBorder="1"/>
    <xf numFmtId="3" fontId="6" fillId="2" borderId="6" xfId="0" applyNumberFormat="1" applyFont="1" applyFill="1" applyBorder="1"/>
    <xf numFmtId="0" fontId="23" fillId="24" borderId="8" xfId="0" applyFont="1" applyFill="1" applyBorder="1"/>
    <xf numFmtId="3" fontId="21" fillId="24" borderId="8" xfId="0" applyNumberFormat="1" applyFont="1" applyFill="1" applyBorder="1"/>
    <xf numFmtId="0" fontId="40" fillId="0" borderId="0" xfId="0" applyFont="1" applyAlignment="1">
      <alignment vertical="center"/>
    </xf>
    <xf numFmtId="0" fontId="42" fillId="0" borderId="22" xfId="0" applyFont="1" applyBorder="1" applyAlignment="1">
      <alignment vertical="center"/>
    </xf>
    <xf numFmtId="0" fontId="40" fillId="0" borderId="22" xfId="0" applyFont="1" applyBorder="1" applyAlignment="1">
      <alignment horizontal="center" vertical="center"/>
    </xf>
    <xf numFmtId="194" fontId="43" fillId="0" borderId="22" xfId="0" applyNumberFormat="1" applyFont="1" applyBorder="1" applyAlignment="1">
      <alignment horizontal="center" vertical="center"/>
    </xf>
    <xf numFmtId="194" fontId="43" fillId="0" borderId="0" xfId="0" applyNumberFormat="1" applyFont="1" applyAlignment="1">
      <alignment horizontal="center" vertical="center"/>
    </xf>
    <xf numFmtId="195" fontId="44" fillId="0" borderId="0" xfId="0" applyNumberFormat="1" applyFont="1" applyAlignment="1">
      <alignment horizontal="right" vertical="center"/>
    </xf>
    <xf numFmtId="0" fontId="44" fillId="25" borderId="0" xfId="0" applyFont="1" applyFill="1" applyAlignment="1">
      <alignment horizontal="right" vertical="center"/>
    </xf>
    <xf numFmtId="0" fontId="46" fillId="0" borderId="25" xfId="0" applyFont="1" applyBorder="1" applyAlignment="1">
      <alignment horizontal="center" vertical="center"/>
    </xf>
    <xf numFmtId="0" fontId="45" fillId="26" borderId="28" xfId="0" applyFont="1" applyFill="1" applyBorder="1" applyAlignment="1">
      <alignment horizontal="center" vertical="center"/>
    </xf>
    <xf numFmtId="195" fontId="46" fillId="25" borderId="29" xfId="0" applyNumberFormat="1" applyFont="1" applyFill="1" applyBorder="1" applyAlignment="1">
      <alignment horizontal="center" vertical="center" wrapText="1"/>
    </xf>
    <xf numFmtId="49" fontId="45" fillId="26" borderId="32" xfId="0" applyNumberFormat="1" applyFont="1" applyFill="1" applyBorder="1" applyAlignment="1">
      <alignment horizontal="center" vertical="center" wrapText="1"/>
    </xf>
    <xf numFmtId="49" fontId="45" fillId="26" borderId="33" xfId="0" applyNumberFormat="1" applyFont="1" applyFill="1" applyBorder="1" applyAlignment="1">
      <alignment horizontal="center" vertical="center" wrapText="1"/>
    </xf>
    <xf numFmtId="49" fontId="46" fillId="0" borderId="25" xfId="0" applyNumberFormat="1" applyFont="1" applyBorder="1" applyAlignment="1">
      <alignment horizontal="center" vertical="center" wrapText="1"/>
    </xf>
    <xf numFmtId="196" fontId="46" fillId="26" borderId="34" xfId="0" applyNumberFormat="1" applyFont="1" applyFill="1" applyBorder="1" applyAlignment="1">
      <alignment horizontal="center" vertical="center" wrapText="1"/>
    </xf>
    <xf numFmtId="0" fontId="46" fillId="26" borderId="35" xfId="0" applyFont="1" applyFill="1" applyBorder="1" applyAlignment="1">
      <alignment horizontal="center" vertical="center"/>
    </xf>
    <xf numFmtId="0" fontId="46" fillId="26" borderId="0" xfId="0" applyFont="1" applyFill="1" applyAlignment="1">
      <alignment horizontal="center" vertical="center"/>
    </xf>
    <xf numFmtId="195" fontId="46" fillId="27" borderId="36" xfId="0" applyNumberFormat="1" applyFont="1" applyFill="1" applyBorder="1" applyAlignment="1">
      <alignment horizontal="center" vertical="center" wrapText="1"/>
    </xf>
    <xf numFmtId="0" fontId="46" fillId="27" borderId="29" xfId="0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/>
    </xf>
    <xf numFmtId="197" fontId="46" fillId="0" borderId="24" xfId="0" applyNumberFormat="1" applyFont="1" applyBorder="1" applyAlignment="1">
      <alignment horizontal="center" vertical="center"/>
    </xf>
    <xf numFmtId="197" fontId="46" fillId="0" borderId="37" xfId="0" applyNumberFormat="1" applyFont="1" applyBorder="1" applyAlignment="1">
      <alignment horizontal="center" vertical="center"/>
    </xf>
    <xf numFmtId="194" fontId="46" fillId="0" borderId="25" xfId="0" applyNumberFormat="1" applyFont="1" applyBorder="1" applyAlignment="1">
      <alignment horizontal="center" vertical="center"/>
    </xf>
    <xf numFmtId="194" fontId="46" fillId="0" borderId="39" xfId="0" applyNumberFormat="1" applyFont="1" applyBorder="1" applyAlignment="1">
      <alignment horizontal="center" vertical="center"/>
    </xf>
    <xf numFmtId="194" fontId="46" fillId="0" borderId="27" xfId="0" applyNumberFormat="1" applyFont="1" applyBorder="1" applyAlignment="1">
      <alignment horizontal="center" vertical="center"/>
    </xf>
    <xf numFmtId="194" fontId="46" fillId="0" borderId="40" xfId="0" applyNumberFormat="1" applyFont="1" applyBorder="1" applyAlignment="1">
      <alignment horizontal="center" vertical="center"/>
    </xf>
    <xf numFmtId="195" fontId="46" fillId="25" borderId="41" xfId="0" applyNumberFormat="1" applyFont="1" applyFill="1" applyBorder="1" applyAlignment="1">
      <alignment horizontal="center" vertical="center" wrapText="1"/>
    </xf>
    <xf numFmtId="0" fontId="47" fillId="0" borderId="42" xfId="0" applyFont="1" applyBorder="1" applyAlignment="1">
      <alignment vertical="center"/>
    </xf>
    <xf numFmtId="0" fontId="45" fillId="0" borderId="43" xfId="0" applyFont="1" applyBorder="1" applyAlignment="1">
      <alignment horizontal="center" vertical="center"/>
    </xf>
    <xf numFmtId="197" fontId="46" fillId="0" borderId="44" xfId="0" applyNumberFormat="1" applyFont="1" applyBorder="1" applyAlignment="1">
      <alignment horizontal="center" vertical="center"/>
    </xf>
    <xf numFmtId="197" fontId="46" fillId="0" borderId="45" xfId="0" applyNumberFormat="1" applyFont="1" applyBorder="1" applyAlignment="1">
      <alignment horizontal="center" vertical="center"/>
    </xf>
    <xf numFmtId="194" fontId="46" fillId="0" borderId="46" xfId="0" applyNumberFormat="1" applyFont="1" applyBorder="1" applyAlignment="1">
      <alignment horizontal="center" vertical="center"/>
    </xf>
    <xf numFmtId="194" fontId="46" fillId="0" borderId="47" xfId="0" applyNumberFormat="1" applyFont="1" applyBorder="1" applyAlignment="1">
      <alignment horizontal="center" vertical="center"/>
    </xf>
    <xf numFmtId="194" fontId="46" fillId="0" borderId="48" xfId="0" applyNumberFormat="1" applyFont="1" applyBorder="1" applyAlignment="1">
      <alignment horizontal="center" vertical="center"/>
    </xf>
    <xf numFmtId="195" fontId="46" fillId="25" borderId="49" xfId="0" applyNumberFormat="1" applyFont="1" applyFill="1" applyBorder="1" applyAlignment="1">
      <alignment horizontal="center" vertical="center" wrapText="1"/>
    </xf>
    <xf numFmtId="0" fontId="47" fillId="0" borderId="50" xfId="0" applyFont="1" applyBorder="1" applyAlignment="1">
      <alignment vertical="center"/>
    </xf>
    <xf numFmtId="198" fontId="46" fillId="0" borderId="24" xfId="0" applyNumberFormat="1" applyFont="1" applyBorder="1" applyAlignment="1">
      <alignment horizontal="center" vertical="center"/>
    </xf>
    <xf numFmtId="198" fontId="46" fillId="0" borderId="37" xfId="0" applyNumberFormat="1" applyFont="1" applyBorder="1" applyAlignment="1">
      <alignment horizontal="center" vertical="center"/>
    </xf>
    <xf numFmtId="0" fontId="47" fillId="0" borderId="41" xfId="0" applyFont="1" applyBorder="1" applyAlignment="1">
      <alignment vertical="center"/>
    </xf>
    <xf numFmtId="0" fontId="45" fillId="0" borderId="51" xfId="0" applyFont="1" applyBorder="1" applyAlignment="1">
      <alignment horizontal="center" vertical="center"/>
    </xf>
    <xf numFmtId="198" fontId="46" fillId="0" borderId="52" xfId="0" applyNumberFormat="1" applyFont="1" applyBorder="1" applyAlignment="1">
      <alignment horizontal="center" vertical="center"/>
    </xf>
    <xf numFmtId="198" fontId="46" fillId="0" borderId="33" xfId="0" applyNumberFormat="1" applyFont="1" applyBorder="1" applyAlignment="1">
      <alignment horizontal="center" vertical="center"/>
    </xf>
    <xf numFmtId="194" fontId="46" fillId="0" borderId="53" xfId="0" applyNumberFormat="1" applyFont="1" applyBorder="1" applyAlignment="1">
      <alignment horizontal="center" vertical="center"/>
    </xf>
    <xf numFmtId="194" fontId="46" fillId="0" borderId="54" xfId="0" applyNumberFormat="1" applyFont="1" applyBorder="1" applyAlignment="1">
      <alignment horizontal="center" vertical="center"/>
    </xf>
    <xf numFmtId="194" fontId="46" fillId="0" borderId="55" xfId="0" applyNumberFormat="1" applyFont="1" applyBorder="1" applyAlignment="1">
      <alignment horizontal="center" vertical="center"/>
    </xf>
    <xf numFmtId="0" fontId="47" fillId="0" borderId="56" xfId="0" applyFont="1" applyBorder="1" applyAlignment="1">
      <alignment vertical="center"/>
    </xf>
    <xf numFmtId="197" fontId="49" fillId="0" borderId="57" xfId="0" applyNumberFormat="1" applyFont="1" applyBorder="1" applyAlignment="1">
      <alignment horizontal="center" vertical="center"/>
    </xf>
    <xf numFmtId="197" fontId="49" fillId="0" borderId="23" xfId="0" applyNumberFormat="1" applyFont="1" applyBorder="1" applyAlignment="1">
      <alignment horizontal="center" vertical="center"/>
    </xf>
    <xf numFmtId="194" fontId="46" fillId="0" borderId="23" xfId="0" applyNumberFormat="1" applyFont="1" applyBorder="1" applyAlignment="1">
      <alignment horizontal="center" vertical="center"/>
    </xf>
    <xf numFmtId="194" fontId="46" fillId="0" borderId="58" xfId="0" applyNumberFormat="1" applyFont="1" applyBorder="1" applyAlignment="1">
      <alignment horizontal="center" vertical="center"/>
    </xf>
    <xf numFmtId="194" fontId="46" fillId="0" borderId="0" xfId="0" applyNumberFormat="1" applyFont="1" applyAlignment="1">
      <alignment horizontal="center" vertical="center"/>
    </xf>
    <xf numFmtId="194" fontId="46" fillId="0" borderId="59" xfId="0" applyNumberFormat="1" applyFont="1" applyBorder="1" applyAlignment="1">
      <alignment horizontal="center" vertical="center"/>
    </xf>
    <xf numFmtId="0" fontId="47" fillId="0" borderId="60" xfId="0" applyFont="1" applyBorder="1" applyAlignment="1">
      <alignment vertical="center"/>
    </xf>
    <xf numFmtId="0" fontId="45" fillId="27" borderId="62" xfId="0" applyFont="1" applyFill="1" applyBorder="1" applyAlignment="1">
      <alignment horizontal="distributed" vertical="center" indent="1"/>
    </xf>
    <xf numFmtId="199" fontId="46" fillId="27" borderId="63" xfId="0" applyNumberFormat="1" applyFont="1" applyFill="1" applyBorder="1" applyAlignment="1">
      <alignment horizontal="center" vertical="center"/>
    </xf>
    <xf numFmtId="199" fontId="46" fillId="27" borderId="64" xfId="0" applyNumberFormat="1" applyFont="1" applyFill="1" applyBorder="1" applyAlignment="1">
      <alignment horizontal="center" vertical="center"/>
    </xf>
    <xf numFmtId="199" fontId="46" fillId="0" borderId="25" xfId="0" applyNumberFormat="1" applyFont="1" applyBorder="1" applyAlignment="1">
      <alignment horizontal="center" vertical="center"/>
    </xf>
    <xf numFmtId="199" fontId="46" fillId="27" borderId="65" xfId="0" applyNumberFormat="1" applyFont="1" applyFill="1" applyBorder="1" applyAlignment="1">
      <alignment horizontal="center" vertical="center"/>
    </xf>
    <xf numFmtId="199" fontId="46" fillId="27" borderId="66" xfId="0" applyNumberFormat="1" applyFont="1" applyFill="1" applyBorder="1" applyAlignment="1">
      <alignment horizontal="center" vertical="center"/>
    </xf>
    <xf numFmtId="199" fontId="46" fillId="27" borderId="67" xfId="0" applyNumberFormat="1" applyFont="1" applyFill="1" applyBorder="1" applyAlignment="1">
      <alignment horizontal="center" vertical="center"/>
    </xf>
    <xf numFmtId="195" fontId="46" fillId="25" borderId="29" xfId="0" applyNumberFormat="1" applyFont="1" applyFill="1" applyBorder="1" applyAlignment="1">
      <alignment horizontal="center" vertical="center"/>
    </xf>
    <xf numFmtId="195" fontId="46" fillId="25" borderId="68" xfId="0" applyNumberFormat="1" applyFont="1" applyFill="1" applyBorder="1" applyAlignment="1">
      <alignment horizontal="center" vertical="center"/>
    </xf>
    <xf numFmtId="199" fontId="46" fillId="27" borderId="69" xfId="0" applyNumberFormat="1" applyFont="1" applyFill="1" applyBorder="1" applyAlignment="1">
      <alignment horizontal="center" vertical="center"/>
    </xf>
    <xf numFmtId="0" fontId="45" fillId="27" borderId="43" xfId="0" applyFont="1" applyFill="1" applyBorder="1" applyAlignment="1">
      <alignment horizontal="distributed" vertical="center" indent="1"/>
    </xf>
    <xf numFmtId="198" fontId="46" fillId="27" borderId="44" xfId="0" applyNumberFormat="1" applyFont="1" applyFill="1" applyBorder="1" applyAlignment="1">
      <alignment vertical="center"/>
    </xf>
    <xf numFmtId="198" fontId="46" fillId="27" borderId="45" xfId="0" applyNumberFormat="1" applyFont="1" applyFill="1" applyBorder="1" applyAlignment="1">
      <alignment vertical="center"/>
    </xf>
    <xf numFmtId="198" fontId="46" fillId="0" borderId="25" xfId="0" applyNumberFormat="1" applyFont="1" applyBorder="1" applyAlignment="1">
      <alignment vertical="center"/>
    </xf>
    <xf numFmtId="198" fontId="46" fillId="27" borderId="46" xfId="0" applyNumberFormat="1" applyFont="1" applyFill="1" applyBorder="1" applyAlignment="1">
      <alignment vertical="center"/>
    </xf>
    <xf numFmtId="198" fontId="46" fillId="27" borderId="47" xfId="0" applyNumberFormat="1" applyFont="1" applyFill="1" applyBorder="1" applyAlignment="1">
      <alignment horizontal="center" vertical="center"/>
    </xf>
    <xf numFmtId="198" fontId="46" fillId="27" borderId="48" xfId="0" applyNumberFormat="1" applyFont="1" applyFill="1" applyBorder="1" applyAlignment="1">
      <alignment vertical="center"/>
    </xf>
    <xf numFmtId="195" fontId="46" fillId="25" borderId="49" xfId="0" applyNumberFormat="1" applyFont="1" applyFill="1" applyBorder="1" applyAlignment="1">
      <alignment horizontal="center" vertical="center"/>
    </xf>
    <xf numFmtId="199" fontId="46" fillId="27" borderId="50" xfId="0" applyNumberFormat="1" applyFont="1" applyFill="1" applyBorder="1" applyAlignment="1">
      <alignment horizontal="center" vertical="center"/>
    </xf>
    <xf numFmtId="0" fontId="45" fillId="27" borderId="70" xfId="0" applyFont="1" applyFill="1" applyBorder="1" applyAlignment="1">
      <alignment horizontal="distributed" vertical="center" indent="1"/>
    </xf>
    <xf numFmtId="198" fontId="46" fillId="27" borderId="71" xfId="0" applyNumberFormat="1" applyFont="1" applyFill="1" applyBorder="1" applyAlignment="1">
      <alignment vertical="center"/>
    </xf>
    <xf numFmtId="200" fontId="46" fillId="27" borderId="72" xfId="0" applyNumberFormat="1" applyFont="1" applyFill="1" applyBorder="1" applyAlignment="1">
      <alignment vertical="center"/>
    </xf>
    <xf numFmtId="198" fontId="46" fillId="27" borderId="73" xfId="0" applyNumberFormat="1" applyFont="1" applyFill="1" applyBorder="1" applyAlignment="1">
      <alignment vertical="center"/>
    </xf>
    <xf numFmtId="198" fontId="46" fillId="27" borderId="74" xfId="0" applyNumberFormat="1" applyFont="1" applyFill="1" applyBorder="1" applyAlignment="1">
      <alignment horizontal="center" vertical="center"/>
    </xf>
    <xf numFmtId="198" fontId="46" fillId="27" borderId="75" xfId="0" applyNumberFormat="1" applyFont="1" applyFill="1" applyBorder="1" applyAlignment="1">
      <alignment vertical="center"/>
    </xf>
    <xf numFmtId="195" fontId="46" fillId="25" borderId="76" xfId="0" applyNumberFormat="1" applyFont="1" applyFill="1" applyBorder="1" applyAlignment="1">
      <alignment horizontal="center" vertical="center"/>
    </xf>
    <xf numFmtId="199" fontId="46" fillId="27" borderId="77" xfId="0" applyNumberFormat="1" applyFont="1" applyFill="1" applyBorder="1" applyAlignment="1">
      <alignment horizontal="center" vertical="center"/>
    </xf>
    <xf numFmtId="0" fontId="45" fillId="28" borderId="79" xfId="0" applyFont="1" applyFill="1" applyBorder="1" applyAlignment="1">
      <alignment horizontal="center" vertical="center"/>
    </xf>
    <xf numFmtId="198" fontId="47" fillId="28" borderId="80" xfId="0" applyNumberFormat="1" applyFont="1" applyFill="1" applyBorder="1" applyAlignment="1">
      <alignment horizontal="right" vertical="center"/>
    </xf>
    <xf numFmtId="198" fontId="47" fillId="28" borderId="81" xfId="0" applyNumberFormat="1" applyFont="1" applyFill="1" applyBorder="1" applyAlignment="1">
      <alignment horizontal="right" vertical="center"/>
    </xf>
    <xf numFmtId="198" fontId="47" fillId="0" borderId="25" xfId="0" applyNumberFormat="1" applyFont="1" applyBorder="1" applyAlignment="1">
      <alignment horizontal="right" vertical="center"/>
    </xf>
    <xf numFmtId="198" fontId="47" fillId="0" borderId="82" xfId="0" applyNumberFormat="1" applyFont="1" applyBorder="1" applyAlignment="1">
      <alignment horizontal="right" vertical="center"/>
    </xf>
    <xf numFmtId="198" fontId="47" fillId="0" borderId="83" xfId="0" applyNumberFormat="1" applyFont="1" applyBorder="1" applyAlignment="1">
      <alignment horizontal="center" vertical="center"/>
    </xf>
    <xf numFmtId="198" fontId="47" fillId="0" borderId="84" xfId="0" applyNumberFormat="1" applyFont="1" applyBorder="1" applyAlignment="1">
      <alignment horizontal="right" vertical="center"/>
    </xf>
    <xf numFmtId="201" fontId="47" fillId="25" borderId="29" xfId="0" applyNumberFormat="1" applyFont="1" applyFill="1" applyBorder="1" applyAlignment="1">
      <alignment horizontal="right" vertical="center"/>
    </xf>
    <xf numFmtId="201" fontId="47" fillId="25" borderId="85" xfId="0" applyNumberFormat="1" applyFont="1" applyFill="1" applyBorder="1" applyAlignment="1">
      <alignment horizontal="right" vertical="center"/>
    </xf>
    <xf numFmtId="0" fontId="50" fillId="0" borderId="68" xfId="0" applyFont="1" applyBorder="1" applyAlignment="1">
      <alignment horizontal="left" vertical="center" indent="1"/>
    </xf>
    <xf numFmtId="0" fontId="45" fillId="28" borderId="86" xfId="0" applyFont="1" applyFill="1" applyBorder="1" applyAlignment="1">
      <alignment horizontal="center" vertical="center"/>
    </xf>
    <xf numFmtId="198" fontId="47" fillId="28" borderId="44" xfId="0" applyNumberFormat="1" applyFont="1" applyFill="1" applyBorder="1" applyAlignment="1">
      <alignment horizontal="right" vertical="center"/>
    </xf>
    <xf numFmtId="198" fontId="47" fillId="28" borderId="45" xfId="0" applyNumberFormat="1" applyFont="1" applyFill="1" applyBorder="1" applyAlignment="1">
      <alignment horizontal="right" vertical="center"/>
    </xf>
    <xf numFmtId="198" fontId="47" fillId="0" borderId="46" xfId="0" applyNumberFormat="1" applyFont="1" applyBorder="1" applyAlignment="1">
      <alignment horizontal="right" vertical="center"/>
    </xf>
    <xf numFmtId="198" fontId="47" fillId="0" borderId="47" xfId="0" applyNumberFormat="1" applyFont="1" applyBorder="1" applyAlignment="1">
      <alignment horizontal="center" vertical="center"/>
    </xf>
    <xf numFmtId="198" fontId="47" fillId="0" borderId="48" xfId="0" applyNumberFormat="1" applyFont="1" applyBorder="1" applyAlignment="1">
      <alignment horizontal="right" vertical="center"/>
    </xf>
    <xf numFmtId="201" fontId="47" fillId="25" borderId="49" xfId="0" applyNumberFormat="1" applyFont="1" applyFill="1" applyBorder="1" applyAlignment="1">
      <alignment horizontal="right" vertical="center"/>
    </xf>
    <xf numFmtId="0" fontId="50" fillId="0" borderId="50" xfId="0" applyFont="1" applyBorder="1" applyAlignment="1">
      <alignment horizontal="left" vertical="center" indent="1"/>
    </xf>
    <xf numFmtId="0" fontId="45" fillId="28" borderId="86" xfId="0" applyFont="1" applyFill="1" applyBorder="1" applyAlignment="1">
      <alignment horizontal="center" vertical="center" wrapText="1"/>
    </xf>
    <xf numFmtId="0" fontId="51" fillId="28" borderId="86" xfId="0" applyFont="1" applyFill="1" applyBorder="1" applyAlignment="1">
      <alignment horizontal="center" vertical="center"/>
    </xf>
    <xf numFmtId="198" fontId="52" fillId="28" borderId="44" xfId="0" applyNumberFormat="1" applyFont="1" applyFill="1" applyBorder="1" applyAlignment="1">
      <alignment horizontal="center" vertical="center"/>
    </xf>
    <xf numFmtId="198" fontId="52" fillId="28" borderId="45" xfId="0" applyNumberFormat="1" applyFont="1" applyFill="1" applyBorder="1" applyAlignment="1">
      <alignment horizontal="center" vertical="center"/>
    </xf>
    <xf numFmtId="198" fontId="52" fillId="0" borderId="25" xfId="0" applyNumberFormat="1" applyFont="1" applyBorder="1" applyAlignment="1">
      <alignment horizontal="center" vertical="center"/>
    </xf>
    <xf numFmtId="198" fontId="52" fillId="0" borderId="46" xfId="0" applyNumberFormat="1" applyFont="1" applyBorder="1" applyAlignment="1">
      <alignment horizontal="center" vertical="center"/>
    </xf>
    <xf numFmtId="198" fontId="52" fillId="0" borderId="47" xfId="0" applyNumberFormat="1" applyFont="1" applyBorder="1" applyAlignment="1">
      <alignment horizontal="center" vertical="center"/>
    </xf>
    <xf numFmtId="198" fontId="52" fillId="0" borderId="48" xfId="0" applyNumberFormat="1" applyFont="1" applyBorder="1" applyAlignment="1">
      <alignment horizontal="right" vertical="center"/>
    </xf>
    <xf numFmtId="201" fontId="52" fillId="25" borderId="29" xfId="0" applyNumberFormat="1" applyFont="1" applyFill="1" applyBorder="1" applyAlignment="1">
      <alignment horizontal="right" vertical="center"/>
    </xf>
    <xf numFmtId="201" fontId="52" fillId="25" borderId="49" xfId="0" applyNumberFormat="1" applyFont="1" applyFill="1" applyBorder="1" applyAlignment="1">
      <alignment horizontal="right" vertical="center"/>
    </xf>
    <xf numFmtId="0" fontId="53" fillId="0" borderId="50" xfId="0" applyFont="1" applyBorder="1" applyAlignment="1">
      <alignment horizontal="left" vertical="center" indent="1"/>
    </xf>
    <xf numFmtId="198" fontId="47" fillId="28" borderId="44" xfId="0" applyNumberFormat="1" applyFont="1" applyFill="1" applyBorder="1" applyAlignment="1">
      <alignment horizontal="center" vertical="center"/>
    </xf>
    <xf numFmtId="198" fontId="47" fillId="28" borderId="45" xfId="0" applyNumberFormat="1" applyFont="1" applyFill="1" applyBorder="1" applyAlignment="1">
      <alignment horizontal="center" vertical="center"/>
    </xf>
    <xf numFmtId="198" fontId="47" fillId="0" borderId="25" xfId="0" applyNumberFormat="1" applyFont="1" applyBorder="1" applyAlignment="1">
      <alignment horizontal="center" vertical="center"/>
    </xf>
    <xf numFmtId="198" fontId="47" fillId="0" borderId="46" xfId="0" applyNumberFormat="1" applyFont="1" applyBorder="1" applyAlignment="1">
      <alignment horizontal="center" vertical="center"/>
    </xf>
    <xf numFmtId="0" fontId="46" fillId="0" borderId="87" xfId="0" applyFont="1" applyBorder="1" applyAlignment="1">
      <alignment horizontal="center" vertical="center"/>
    </xf>
    <xf numFmtId="198" fontId="47" fillId="0" borderId="44" xfId="0" applyNumberFormat="1" applyFont="1" applyBorder="1" applyAlignment="1">
      <alignment horizontal="center" vertical="center"/>
    </xf>
    <xf numFmtId="198" fontId="47" fillId="0" borderId="45" xfId="0" applyNumberFormat="1" applyFont="1" applyBorder="1" applyAlignment="1">
      <alignment horizontal="center" vertical="center"/>
    </xf>
    <xf numFmtId="198" fontId="47" fillId="0" borderId="48" xfId="0" applyNumberFormat="1" applyFont="1" applyBorder="1" applyAlignment="1">
      <alignment horizontal="center" vertical="center"/>
    </xf>
    <xf numFmtId="0" fontId="45" fillId="29" borderId="88" xfId="0" applyFont="1" applyFill="1" applyBorder="1" applyAlignment="1">
      <alignment horizontal="center" vertical="center"/>
    </xf>
    <xf numFmtId="198" fontId="46" fillId="29" borderId="52" xfId="0" applyNumberFormat="1" applyFont="1" applyFill="1" applyBorder="1" applyAlignment="1">
      <alignment horizontal="center" vertical="center"/>
    </xf>
    <xf numFmtId="198" fontId="46" fillId="29" borderId="33" xfId="0" applyNumberFormat="1" applyFont="1" applyFill="1" applyBorder="1" applyAlignment="1">
      <alignment horizontal="center" vertical="center"/>
    </xf>
    <xf numFmtId="198" fontId="46" fillId="0" borderId="25" xfId="0" applyNumberFormat="1" applyFont="1" applyBorder="1" applyAlignment="1">
      <alignment horizontal="center" vertical="center"/>
    </xf>
    <xf numFmtId="198" fontId="46" fillId="29" borderId="53" xfId="0" applyNumberFormat="1" applyFont="1" applyFill="1" applyBorder="1" applyAlignment="1">
      <alignment horizontal="center" vertical="center"/>
    </xf>
    <xf numFmtId="198" fontId="46" fillId="29" borderId="32" xfId="0" applyNumberFormat="1" applyFont="1" applyFill="1" applyBorder="1" applyAlignment="1">
      <alignment horizontal="center" vertical="center"/>
    </xf>
    <xf numFmtId="198" fontId="46" fillId="29" borderId="34" xfId="0" applyNumberFormat="1" applyFont="1" applyFill="1" applyBorder="1" applyAlignment="1">
      <alignment horizontal="center" vertical="center"/>
    </xf>
    <xf numFmtId="201" fontId="54" fillId="25" borderId="29" xfId="0" applyNumberFormat="1" applyFont="1" applyFill="1" applyBorder="1" applyAlignment="1">
      <alignment horizontal="right" vertical="center"/>
    </xf>
    <xf numFmtId="201" fontId="54" fillId="25" borderId="89" xfId="0" applyNumberFormat="1" applyFont="1" applyFill="1" applyBorder="1" applyAlignment="1">
      <alignment horizontal="right" vertical="center"/>
    </xf>
    <xf numFmtId="0" fontId="47" fillId="29" borderId="77" xfId="0" applyFont="1" applyFill="1" applyBorder="1" applyAlignment="1">
      <alignment horizontal="left" vertical="center" indent="1"/>
    </xf>
    <xf numFmtId="198" fontId="47" fillId="0" borderId="24" xfId="0" applyNumberFormat="1" applyFont="1" applyBorder="1" applyAlignment="1">
      <alignment horizontal="center" vertical="center"/>
    </xf>
    <xf numFmtId="198" fontId="47" fillId="0" borderId="37" xfId="0" applyNumberFormat="1" applyFont="1" applyBorder="1" applyAlignment="1">
      <alignment horizontal="center" vertical="center"/>
    </xf>
    <xf numFmtId="198" fontId="47" fillId="0" borderId="39" xfId="0" applyNumberFormat="1" applyFont="1" applyBorder="1" applyAlignment="1">
      <alignment horizontal="center" vertical="center"/>
    </xf>
    <xf numFmtId="198" fontId="47" fillId="0" borderId="27" xfId="0" applyNumberFormat="1" applyFont="1" applyBorder="1" applyAlignment="1">
      <alignment horizontal="center" vertical="center"/>
    </xf>
    <xf numFmtId="198" fontId="47" fillId="0" borderId="40" xfId="0" applyNumberFormat="1" applyFont="1" applyBorder="1" applyAlignment="1">
      <alignment horizontal="right" vertical="center"/>
    </xf>
    <xf numFmtId="201" fontId="47" fillId="25" borderId="41" xfId="0" applyNumberFormat="1" applyFont="1" applyFill="1" applyBorder="1" applyAlignment="1">
      <alignment horizontal="right" vertical="center"/>
    </xf>
    <xf numFmtId="202" fontId="55" fillId="0" borderId="42" xfId="0" applyNumberFormat="1" applyFont="1" applyBorder="1" applyAlignment="1">
      <alignment horizontal="left" vertical="center" indent="1"/>
    </xf>
    <xf numFmtId="0" fontId="51" fillId="0" borderId="90" xfId="0" applyFont="1" applyBorder="1" applyAlignment="1">
      <alignment horizontal="center" vertical="center"/>
    </xf>
    <xf numFmtId="198" fontId="52" fillId="0" borderId="33" xfId="0" applyNumberFormat="1" applyFont="1" applyBorder="1" applyAlignment="1">
      <alignment horizontal="center" vertical="center"/>
    </xf>
    <xf numFmtId="198" fontId="52" fillId="0" borderId="53" xfId="0" applyNumberFormat="1" applyFont="1" applyBorder="1" applyAlignment="1">
      <alignment horizontal="center" vertical="center"/>
    </xf>
    <xf numFmtId="198" fontId="52" fillId="0" borderId="32" xfId="0" applyNumberFormat="1" applyFont="1" applyBorder="1" applyAlignment="1">
      <alignment horizontal="center" vertical="center"/>
    </xf>
    <xf numFmtId="198" fontId="52" fillId="0" borderId="34" xfId="0" applyNumberFormat="1" applyFont="1" applyBorder="1" applyAlignment="1">
      <alignment horizontal="right" vertical="center"/>
    </xf>
    <xf numFmtId="201" fontId="56" fillId="25" borderId="29" xfId="0" applyNumberFormat="1" applyFont="1" applyFill="1" applyBorder="1" applyAlignment="1">
      <alignment horizontal="right" vertical="center"/>
    </xf>
    <xf numFmtId="201" fontId="56" fillId="25" borderId="89" xfId="0" applyNumberFormat="1" applyFont="1" applyFill="1" applyBorder="1" applyAlignment="1">
      <alignment horizontal="right" vertical="center"/>
    </xf>
    <xf numFmtId="198" fontId="56" fillId="0" borderId="77" xfId="0" applyNumberFormat="1" applyFont="1" applyBorder="1" applyAlignment="1">
      <alignment horizontal="left" vertical="center" indent="1"/>
    </xf>
    <xf numFmtId="198" fontId="47" fillId="0" borderId="33" xfId="0" applyNumberFormat="1" applyFont="1" applyBorder="1" applyAlignment="1">
      <alignment horizontal="center" vertical="center"/>
    </xf>
    <xf numFmtId="198" fontId="47" fillId="0" borderId="53" xfId="0" applyNumberFormat="1" applyFont="1" applyBorder="1" applyAlignment="1">
      <alignment horizontal="center" vertical="center"/>
    </xf>
    <xf numFmtId="198" fontId="47" fillId="0" borderId="32" xfId="0" applyNumberFormat="1" applyFont="1" applyBorder="1" applyAlignment="1">
      <alignment horizontal="center" vertical="center"/>
    </xf>
    <xf numFmtId="198" fontId="47" fillId="0" borderId="34" xfId="0" applyNumberFormat="1" applyFont="1" applyBorder="1" applyAlignment="1">
      <alignment horizontal="right" vertical="center"/>
    </xf>
    <xf numFmtId="201" fontId="47" fillId="25" borderId="89" xfId="0" applyNumberFormat="1" applyFont="1" applyFill="1" applyBorder="1" applyAlignment="1">
      <alignment horizontal="right" vertical="center"/>
    </xf>
    <xf numFmtId="198" fontId="57" fillId="0" borderId="77" xfId="0" applyNumberFormat="1" applyFont="1" applyBorder="1" applyAlignment="1">
      <alignment horizontal="left" vertical="center" indent="1"/>
    </xf>
    <xf numFmtId="201" fontId="54" fillId="25" borderId="49" xfId="0" applyNumberFormat="1" applyFont="1" applyFill="1" applyBorder="1" applyAlignment="1">
      <alignment horizontal="right" vertical="center"/>
    </xf>
    <xf numFmtId="0" fontId="47" fillId="0" borderId="50" xfId="0" applyFont="1" applyBorder="1" applyAlignment="1">
      <alignment horizontal="left" vertical="center" indent="1"/>
    </xf>
    <xf numFmtId="198" fontId="46" fillId="30" borderId="92" xfId="0" applyNumberFormat="1" applyFont="1" applyFill="1" applyBorder="1" applyAlignment="1">
      <alignment horizontal="center" vertical="center"/>
    </xf>
    <xf numFmtId="198" fontId="46" fillId="30" borderId="91" xfId="0" applyNumberFormat="1" applyFont="1" applyFill="1" applyBorder="1" applyAlignment="1">
      <alignment horizontal="center" vertical="center"/>
    </xf>
    <xf numFmtId="198" fontId="46" fillId="30" borderId="93" xfId="0" applyNumberFormat="1" applyFont="1" applyFill="1" applyBorder="1" applyAlignment="1">
      <alignment horizontal="center" vertical="center"/>
    </xf>
    <xf numFmtId="198" fontId="46" fillId="30" borderId="54" xfId="0" applyNumberFormat="1" applyFont="1" applyFill="1" applyBorder="1" applyAlignment="1">
      <alignment horizontal="center" vertical="center"/>
    </xf>
    <xf numFmtId="198" fontId="46" fillId="30" borderId="55" xfId="0" applyNumberFormat="1" applyFont="1" applyFill="1" applyBorder="1" applyAlignment="1">
      <alignment horizontal="center" vertical="center"/>
    </xf>
    <xf numFmtId="201" fontId="58" fillId="25" borderId="29" xfId="0" applyNumberFormat="1" applyFont="1" applyFill="1" applyBorder="1" applyAlignment="1">
      <alignment horizontal="right" vertical="center"/>
    </xf>
    <xf numFmtId="201" fontId="58" fillId="25" borderId="56" xfId="0" applyNumberFormat="1" applyFont="1" applyFill="1" applyBorder="1" applyAlignment="1">
      <alignment horizontal="right" vertical="center"/>
    </xf>
    <xf numFmtId="203" fontId="53" fillId="30" borderId="94" xfId="0" applyNumberFormat="1" applyFont="1" applyFill="1" applyBorder="1" applyAlignment="1">
      <alignment horizontal="left" vertical="center" indent="1"/>
    </xf>
    <xf numFmtId="198" fontId="40" fillId="0" borderId="0" xfId="0" applyNumberFormat="1" applyFont="1" applyAlignment="1">
      <alignment vertical="center"/>
    </xf>
    <xf numFmtId="198" fontId="47" fillId="28" borderId="80" xfId="0" applyNumberFormat="1" applyFont="1" applyFill="1" applyBorder="1" applyAlignment="1">
      <alignment horizontal="center" vertical="center"/>
    </xf>
    <xf numFmtId="198" fontId="47" fillId="28" borderId="81" xfId="0" applyNumberFormat="1" applyFont="1" applyFill="1" applyBorder="1" applyAlignment="1">
      <alignment horizontal="center" vertical="center"/>
    </xf>
    <xf numFmtId="198" fontId="47" fillId="28" borderId="25" xfId="0" applyNumberFormat="1" applyFont="1" applyFill="1" applyBorder="1" applyAlignment="1">
      <alignment horizontal="center" vertical="center"/>
    </xf>
    <xf numFmtId="198" fontId="47" fillId="28" borderId="82" xfId="0" applyNumberFormat="1" applyFont="1" applyFill="1" applyBorder="1" applyAlignment="1">
      <alignment horizontal="center" vertical="center"/>
    </xf>
    <xf numFmtId="198" fontId="47" fillId="28" borderId="83" xfId="0" applyNumberFormat="1" applyFont="1" applyFill="1" applyBorder="1" applyAlignment="1">
      <alignment horizontal="center" vertical="center"/>
    </xf>
    <xf numFmtId="198" fontId="47" fillId="28" borderId="84" xfId="0" applyNumberFormat="1" applyFont="1" applyFill="1" applyBorder="1" applyAlignment="1">
      <alignment horizontal="right" vertical="center"/>
    </xf>
    <xf numFmtId="201" fontId="47" fillId="28" borderId="29" xfId="0" applyNumberFormat="1" applyFont="1" applyFill="1" applyBorder="1" applyAlignment="1">
      <alignment horizontal="right" vertical="center"/>
    </xf>
    <xf numFmtId="182" fontId="59" fillId="28" borderId="41" xfId="0" applyNumberFormat="1" applyFont="1" applyFill="1" applyBorder="1" applyAlignment="1">
      <alignment horizontal="right" vertical="center"/>
    </xf>
    <xf numFmtId="200" fontId="47" fillId="28" borderId="95" xfId="0" applyNumberFormat="1" applyFont="1" applyFill="1" applyBorder="1" applyAlignment="1">
      <alignment horizontal="left" vertical="center" indent="1"/>
    </xf>
    <xf numFmtId="0" fontId="45" fillId="0" borderId="87" xfId="0" applyFont="1" applyBorder="1" applyAlignment="1">
      <alignment horizontal="center" vertical="center"/>
    </xf>
    <xf numFmtId="10" fontId="59" fillId="25" borderId="49" xfId="0" applyNumberFormat="1" applyFont="1" applyFill="1" applyBorder="1" applyAlignment="1">
      <alignment horizontal="right" vertical="center"/>
    </xf>
    <xf numFmtId="0" fontId="51" fillId="28" borderId="87" xfId="0" applyFont="1" applyFill="1" applyBorder="1" applyAlignment="1">
      <alignment horizontal="center" vertical="center"/>
    </xf>
    <xf numFmtId="198" fontId="52" fillId="28" borderId="25" xfId="0" applyNumberFormat="1" applyFont="1" applyFill="1" applyBorder="1" applyAlignment="1">
      <alignment horizontal="center" vertical="center"/>
    </xf>
    <xf numFmtId="198" fontId="52" fillId="28" borderId="46" xfId="0" applyNumberFormat="1" applyFont="1" applyFill="1" applyBorder="1" applyAlignment="1">
      <alignment horizontal="center" vertical="center"/>
    </xf>
    <xf numFmtId="198" fontId="52" fillId="28" borderId="47" xfId="0" applyNumberFormat="1" applyFont="1" applyFill="1" applyBorder="1" applyAlignment="1">
      <alignment horizontal="center" vertical="center"/>
    </xf>
    <xf numFmtId="198" fontId="52" fillId="28" borderId="48" xfId="0" applyNumberFormat="1" applyFont="1" applyFill="1" applyBorder="1" applyAlignment="1">
      <alignment horizontal="right" vertical="center"/>
    </xf>
    <xf numFmtId="201" fontId="52" fillId="28" borderId="29" xfId="0" applyNumberFormat="1" applyFont="1" applyFill="1" applyBorder="1" applyAlignment="1">
      <alignment horizontal="right" vertical="center"/>
    </xf>
    <xf numFmtId="10" fontId="60" fillId="28" borderId="49" xfId="0" applyNumberFormat="1" applyFont="1" applyFill="1" applyBorder="1" applyAlignment="1">
      <alignment horizontal="right" vertical="center"/>
    </xf>
    <xf numFmtId="200" fontId="52" fillId="28" borderId="50" xfId="0" applyNumberFormat="1" applyFont="1" applyFill="1" applyBorder="1" applyAlignment="1">
      <alignment horizontal="left" vertical="center" indent="1"/>
    </xf>
    <xf numFmtId="200" fontId="47" fillId="0" borderId="50" xfId="0" applyNumberFormat="1" applyFont="1" applyBorder="1" applyAlignment="1">
      <alignment horizontal="left" vertical="center" indent="1"/>
    </xf>
    <xf numFmtId="195" fontId="47" fillId="0" borderId="50" xfId="0" applyNumberFormat="1" applyFont="1" applyBorder="1" applyAlignment="1">
      <alignment horizontal="left" vertical="center" indent="1"/>
    </xf>
    <xf numFmtId="0" fontId="45" fillId="28" borderId="87" xfId="0" applyFont="1" applyFill="1" applyBorder="1" applyAlignment="1">
      <alignment horizontal="center" vertical="center"/>
    </xf>
    <xf numFmtId="198" fontId="47" fillId="28" borderId="46" xfId="0" applyNumberFormat="1" applyFont="1" applyFill="1" applyBorder="1" applyAlignment="1">
      <alignment horizontal="center" vertical="center"/>
    </xf>
    <xf numFmtId="198" fontId="47" fillId="28" borderId="47" xfId="0" applyNumberFormat="1" applyFont="1" applyFill="1" applyBorder="1" applyAlignment="1">
      <alignment horizontal="center" vertical="center"/>
    </xf>
    <xf numFmtId="198" fontId="47" fillId="28" borderId="48" xfId="0" applyNumberFormat="1" applyFont="1" applyFill="1" applyBorder="1" applyAlignment="1">
      <alignment horizontal="right" vertical="center"/>
    </xf>
    <xf numFmtId="182" fontId="59" fillId="28" borderId="49" xfId="0" applyNumberFormat="1" applyFont="1" applyFill="1" applyBorder="1" applyAlignment="1">
      <alignment horizontal="right" vertical="center"/>
    </xf>
    <xf numFmtId="195" fontId="50" fillId="28" borderId="50" xfId="0" applyNumberFormat="1" applyFont="1" applyFill="1" applyBorder="1" applyAlignment="1">
      <alignment horizontal="left" vertical="center" indent="1"/>
    </xf>
    <xf numFmtId="182" fontId="59" fillId="25" borderId="49" xfId="0" applyNumberFormat="1" applyFont="1" applyFill="1" applyBorder="1" applyAlignment="1">
      <alignment horizontal="right" vertical="center"/>
    </xf>
    <xf numFmtId="195" fontId="47" fillId="0" borderId="50" xfId="0" applyNumberFormat="1" applyFont="1" applyBorder="1" applyAlignment="1">
      <alignment horizontal="left" vertical="center" wrapText="1" indent="1"/>
    </xf>
    <xf numFmtId="0" fontId="45" fillId="30" borderId="87" xfId="0" applyFont="1" applyFill="1" applyBorder="1" applyAlignment="1">
      <alignment horizontal="center" vertical="center"/>
    </xf>
    <xf numFmtId="198" fontId="46" fillId="30" borderId="44" xfId="0" applyNumberFormat="1" applyFont="1" applyFill="1" applyBorder="1" applyAlignment="1">
      <alignment horizontal="center" vertical="center"/>
    </xf>
    <xf numFmtId="198" fontId="46" fillId="30" borderId="45" xfId="0" applyNumberFormat="1" applyFont="1" applyFill="1" applyBorder="1" applyAlignment="1">
      <alignment horizontal="center" vertical="center"/>
    </xf>
    <xf numFmtId="198" fontId="46" fillId="30" borderId="46" xfId="0" applyNumberFormat="1" applyFont="1" applyFill="1" applyBorder="1" applyAlignment="1">
      <alignment horizontal="center" vertical="center"/>
    </xf>
    <xf numFmtId="198" fontId="46" fillId="30" borderId="47" xfId="0" applyNumberFormat="1" applyFont="1" applyFill="1" applyBorder="1" applyAlignment="1">
      <alignment horizontal="center" vertical="center"/>
    </xf>
    <xf numFmtId="198" fontId="46" fillId="30" borderId="48" xfId="0" applyNumberFormat="1" applyFont="1" applyFill="1" applyBorder="1" applyAlignment="1">
      <alignment horizontal="center" vertical="center"/>
    </xf>
    <xf numFmtId="201" fontId="61" fillId="25" borderId="29" xfId="0" applyNumberFormat="1" applyFont="1" applyFill="1" applyBorder="1" applyAlignment="1">
      <alignment horizontal="right" vertical="center"/>
    </xf>
    <xf numFmtId="201" fontId="61" fillId="25" borderId="49" xfId="0" applyNumberFormat="1" applyFont="1" applyFill="1" applyBorder="1" applyAlignment="1">
      <alignment horizontal="right" vertical="center"/>
    </xf>
    <xf numFmtId="0" fontId="58" fillId="30" borderId="50" xfId="0" applyFont="1" applyFill="1" applyBorder="1" applyAlignment="1">
      <alignment horizontal="left" vertical="center" indent="1"/>
    </xf>
    <xf numFmtId="198" fontId="46" fillId="27" borderId="92" xfId="0" applyNumberFormat="1" applyFont="1" applyFill="1" applyBorder="1" applyAlignment="1">
      <alignment horizontal="center" vertical="center"/>
    </xf>
    <xf numFmtId="198" fontId="46" fillId="27" borderId="91" xfId="0" applyNumberFormat="1" applyFont="1" applyFill="1" applyBorder="1" applyAlignment="1">
      <alignment horizontal="center" vertical="center"/>
    </xf>
    <xf numFmtId="198" fontId="46" fillId="27" borderId="93" xfId="0" applyNumberFormat="1" applyFont="1" applyFill="1" applyBorder="1" applyAlignment="1">
      <alignment horizontal="center" vertical="center"/>
    </xf>
    <xf numFmtId="198" fontId="46" fillId="27" borderId="54" xfId="0" applyNumberFormat="1" applyFont="1" applyFill="1" applyBorder="1" applyAlignment="1">
      <alignment horizontal="center" vertical="center"/>
    </xf>
    <xf numFmtId="198" fontId="46" fillId="27" borderId="55" xfId="0" applyNumberFormat="1" applyFont="1" applyFill="1" applyBorder="1" applyAlignment="1">
      <alignment horizontal="center" vertical="center"/>
    </xf>
    <xf numFmtId="201" fontId="61" fillId="25" borderId="56" xfId="0" applyNumberFormat="1" applyFont="1" applyFill="1" applyBorder="1" applyAlignment="1">
      <alignment horizontal="right" vertical="center"/>
    </xf>
    <xf numFmtId="0" fontId="45" fillId="27" borderId="94" xfId="0" applyFont="1" applyFill="1" applyBorder="1" applyAlignment="1">
      <alignment horizontal="left" vertical="center" indent="1"/>
    </xf>
    <xf numFmtId="198" fontId="47" fillId="0" borderId="85" xfId="0" applyNumberFormat="1" applyFont="1" applyBorder="1" applyAlignment="1">
      <alignment horizontal="right" vertical="center"/>
    </xf>
    <xf numFmtId="195" fontId="50" fillId="0" borderId="95" xfId="0" applyNumberFormat="1" applyFont="1" applyBorder="1" applyAlignment="1">
      <alignment horizontal="left" vertical="center" indent="1"/>
    </xf>
    <xf numFmtId="198" fontId="47" fillId="0" borderId="49" xfId="0" applyNumberFormat="1" applyFont="1" applyBorder="1" applyAlignment="1">
      <alignment horizontal="right" vertical="center"/>
    </xf>
    <xf numFmtId="198" fontId="47" fillId="0" borderId="49" xfId="0" applyNumberFormat="1" applyFont="1" applyBorder="1" applyAlignment="1">
      <alignment horizontal="center" vertical="center"/>
    </xf>
    <xf numFmtId="0" fontId="45" fillId="28" borderId="43" xfId="0" applyFont="1" applyFill="1" applyBorder="1" applyAlignment="1">
      <alignment horizontal="center" vertical="center"/>
    </xf>
    <xf numFmtId="198" fontId="47" fillId="28" borderId="49" xfId="0" applyNumberFormat="1" applyFont="1" applyFill="1" applyBorder="1" applyAlignment="1">
      <alignment horizontal="center" vertical="center"/>
    </xf>
    <xf numFmtId="201" fontId="47" fillId="28" borderId="49" xfId="0" applyNumberFormat="1" applyFont="1" applyFill="1" applyBorder="1" applyAlignment="1">
      <alignment horizontal="right" vertical="center"/>
    </xf>
    <xf numFmtId="0" fontId="50" fillId="28" borderId="50" xfId="0" applyFont="1" applyFill="1" applyBorder="1" applyAlignment="1">
      <alignment horizontal="left" vertical="center" indent="1"/>
    </xf>
    <xf numFmtId="0" fontId="40" fillId="28" borderId="0" xfId="0" applyFont="1" applyFill="1" applyAlignment="1">
      <alignment vertical="center"/>
    </xf>
    <xf numFmtId="0" fontId="46" fillId="0" borderId="97" xfId="0" applyFont="1" applyBorder="1" applyAlignment="1">
      <alignment horizontal="center" vertical="center"/>
    </xf>
    <xf numFmtId="198" fontId="47" fillId="0" borderId="89" xfId="0" applyNumberFormat="1" applyFont="1" applyBorder="1" applyAlignment="1">
      <alignment horizontal="center" vertical="center"/>
    </xf>
    <xf numFmtId="0" fontId="47" fillId="0" borderId="77" xfId="0" applyFont="1" applyBorder="1" applyAlignment="1">
      <alignment horizontal="left" vertical="center" indent="1"/>
    </xf>
    <xf numFmtId="0" fontId="45" fillId="30" borderId="98" xfId="0" applyFont="1" applyFill="1" applyBorder="1" applyAlignment="1">
      <alignment horizontal="center" vertical="center"/>
    </xf>
    <xf numFmtId="198" fontId="46" fillId="0" borderId="99" xfId="0" applyNumberFormat="1" applyFont="1" applyBorder="1" applyAlignment="1">
      <alignment horizontal="center" vertical="center"/>
    </xf>
    <xf numFmtId="201" fontId="61" fillId="25" borderId="100" xfId="0" applyNumberFormat="1" applyFont="1" applyFill="1" applyBorder="1" applyAlignment="1">
      <alignment horizontal="right" vertical="center"/>
    </xf>
    <xf numFmtId="0" fontId="58" fillId="30" borderId="94" xfId="0" applyFont="1" applyFill="1" applyBorder="1" applyAlignment="1">
      <alignment horizontal="left" vertical="center" indent="1"/>
    </xf>
    <xf numFmtId="0" fontId="45" fillId="0" borderId="97" xfId="0" applyFont="1" applyBorder="1" applyAlignment="1">
      <alignment horizontal="center" vertical="center"/>
    </xf>
    <xf numFmtId="0" fontId="45" fillId="30" borderId="51" xfId="0" applyFont="1" applyFill="1" applyBorder="1" applyAlignment="1">
      <alignment horizontal="center" vertical="center"/>
    </xf>
    <xf numFmtId="198" fontId="46" fillId="25" borderId="30" xfId="0" applyNumberFormat="1" applyFont="1" applyFill="1" applyBorder="1" applyAlignment="1">
      <alignment horizontal="center" vertical="center"/>
    </xf>
    <xf numFmtId="198" fontId="46" fillId="25" borderId="25" xfId="0" applyNumberFormat="1" applyFont="1" applyFill="1" applyBorder="1" applyAlignment="1">
      <alignment horizontal="center" vertical="center"/>
    </xf>
    <xf numFmtId="198" fontId="46" fillId="25" borderId="58" xfId="0" applyNumberFormat="1" applyFont="1" applyFill="1" applyBorder="1" applyAlignment="1">
      <alignment horizontal="center" vertical="center"/>
    </xf>
    <xf numFmtId="198" fontId="46" fillId="25" borderId="102" xfId="0" applyNumberFormat="1" applyFont="1" applyFill="1" applyBorder="1" applyAlignment="1">
      <alignment horizontal="center" vertical="center"/>
    </xf>
    <xf numFmtId="198" fontId="46" fillId="25" borderId="103" xfId="0" applyNumberFormat="1" applyFont="1" applyFill="1" applyBorder="1" applyAlignment="1">
      <alignment horizontal="center" vertical="center"/>
    </xf>
    <xf numFmtId="201" fontId="46" fillId="25" borderId="29" xfId="0" applyNumberFormat="1" applyFont="1" applyFill="1" applyBorder="1" applyAlignment="1">
      <alignment horizontal="right" vertical="center"/>
    </xf>
    <xf numFmtId="201" fontId="46" fillId="25" borderId="30" xfId="0" applyNumberFormat="1" applyFont="1" applyFill="1" applyBorder="1" applyAlignment="1">
      <alignment horizontal="right" vertical="center"/>
    </xf>
    <xf numFmtId="0" fontId="45" fillId="25" borderId="30" xfId="0" applyFont="1" applyFill="1" applyBorder="1" applyAlignment="1">
      <alignment horizontal="left" vertical="center" indent="1"/>
    </xf>
    <xf numFmtId="198" fontId="46" fillId="25" borderId="60" xfId="0" applyNumberFormat="1" applyFont="1" applyFill="1" applyBorder="1" applyAlignment="1">
      <alignment horizontal="center" vertical="center"/>
    </xf>
    <xf numFmtId="198" fontId="46" fillId="25" borderId="104" xfId="0" applyNumberFormat="1" applyFont="1" applyFill="1" applyBorder="1" applyAlignment="1">
      <alignment horizontal="center" vertical="center"/>
    </xf>
    <xf numFmtId="198" fontId="46" fillId="25" borderId="105" xfId="0" applyNumberFormat="1" applyFont="1" applyFill="1" applyBorder="1" applyAlignment="1">
      <alignment horizontal="center" vertical="center"/>
    </xf>
    <xf numFmtId="198" fontId="46" fillId="25" borderId="106" xfId="0" applyNumberFormat="1" applyFont="1" applyFill="1" applyBorder="1" applyAlignment="1">
      <alignment horizontal="center" vertical="center"/>
    </xf>
    <xf numFmtId="204" fontId="46" fillId="25" borderId="29" xfId="0" applyNumberFormat="1" applyFont="1" applyFill="1" applyBorder="1" applyAlignment="1">
      <alignment horizontal="center" vertical="center"/>
    </xf>
    <xf numFmtId="180" fontId="46" fillId="25" borderId="60" xfId="0" applyNumberFormat="1" applyFont="1" applyFill="1" applyBorder="1" applyAlignment="1">
      <alignment horizontal="right" vertical="center"/>
    </xf>
    <xf numFmtId="205" fontId="46" fillId="25" borderId="60" xfId="0" applyNumberFormat="1" applyFont="1" applyFill="1" applyBorder="1" applyAlignment="1">
      <alignment horizontal="left" vertical="center" indent="1"/>
    </xf>
    <xf numFmtId="198" fontId="46" fillId="31" borderId="60" xfId="0" applyNumberFormat="1" applyFont="1" applyFill="1" applyBorder="1" applyAlignment="1">
      <alignment vertical="center"/>
    </xf>
    <xf numFmtId="198" fontId="46" fillId="31" borderId="104" xfId="0" applyNumberFormat="1" applyFont="1" applyFill="1" applyBorder="1" applyAlignment="1">
      <alignment vertical="center"/>
    </xf>
    <xf numFmtId="198" fontId="46" fillId="31" borderId="105" xfId="0" applyNumberFormat="1" applyFont="1" applyFill="1" applyBorder="1" applyAlignment="1">
      <alignment horizontal="center" vertical="center"/>
    </xf>
    <xf numFmtId="198" fontId="46" fillId="31" borderId="106" xfId="0" applyNumberFormat="1" applyFont="1" applyFill="1" applyBorder="1" applyAlignment="1">
      <alignment vertical="center"/>
    </xf>
    <xf numFmtId="201" fontId="46" fillId="31" borderId="60" xfId="0" applyNumberFormat="1" applyFont="1" applyFill="1" applyBorder="1" applyAlignment="1">
      <alignment horizontal="left" vertical="center" indent="1"/>
    </xf>
    <xf numFmtId="198" fontId="46" fillId="32" borderId="60" xfId="0" applyNumberFormat="1" applyFont="1" applyFill="1" applyBorder="1" applyAlignment="1">
      <alignment horizontal="center" vertical="center"/>
    </xf>
    <xf numFmtId="198" fontId="46" fillId="32" borderId="104" xfId="0" applyNumberFormat="1" applyFont="1" applyFill="1" applyBorder="1" applyAlignment="1">
      <alignment horizontal="center" vertical="center"/>
    </xf>
    <xf numFmtId="198" fontId="47" fillId="32" borderId="105" xfId="0" applyNumberFormat="1" applyFont="1" applyFill="1" applyBorder="1" applyAlignment="1">
      <alignment horizontal="center" vertical="center"/>
    </xf>
    <xf numFmtId="198" fontId="47" fillId="32" borderId="106" xfId="0" applyNumberFormat="1" applyFont="1" applyFill="1" applyBorder="1" applyAlignment="1">
      <alignment horizontal="center" vertical="center"/>
    </xf>
    <xf numFmtId="195" fontId="47" fillId="0" borderId="29" xfId="0" applyNumberFormat="1" applyFont="1" applyBorder="1" applyAlignment="1">
      <alignment horizontal="right"/>
    </xf>
    <xf numFmtId="10" fontId="46" fillId="25" borderId="60" xfId="0" applyNumberFormat="1" applyFont="1" applyFill="1" applyBorder="1" applyAlignment="1">
      <alignment horizontal="right" vertical="center"/>
    </xf>
    <xf numFmtId="0" fontId="46" fillId="32" borderId="60" xfId="0" applyFont="1" applyFill="1" applyBorder="1" applyAlignment="1">
      <alignment horizontal="left" vertical="center" indent="1"/>
    </xf>
    <xf numFmtId="198" fontId="62" fillId="33" borderId="60" xfId="0" applyNumberFormat="1" applyFont="1" applyFill="1" applyBorder="1" applyAlignment="1">
      <alignment horizontal="center" vertical="center"/>
    </xf>
    <xf numFmtId="198" fontId="62" fillId="0" borderId="25" xfId="0" applyNumberFormat="1" applyFont="1" applyBorder="1" applyAlignment="1">
      <alignment horizontal="center" vertical="center"/>
    </xf>
    <xf numFmtId="200" fontId="62" fillId="33" borderId="104" xfId="0" applyNumberFormat="1" applyFont="1" applyFill="1" applyBorder="1" applyAlignment="1">
      <alignment horizontal="center" vertical="center"/>
    </xf>
    <xf numFmtId="198" fontId="62" fillId="33" borderId="105" xfId="0" applyNumberFormat="1" applyFont="1" applyFill="1" applyBorder="1" applyAlignment="1">
      <alignment horizontal="center" vertical="center"/>
    </xf>
    <xf numFmtId="198" fontId="62" fillId="33" borderId="106" xfId="0" applyNumberFormat="1" applyFont="1" applyFill="1" applyBorder="1" applyAlignment="1">
      <alignment horizontal="center" vertical="center"/>
    </xf>
    <xf numFmtId="195" fontId="62" fillId="25" borderId="60" xfId="0" applyNumberFormat="1" applyFont="1" applyFill="1" applyBorder="1" applyAlignment="1">
      <alignment horizontal="right"/>
    </xf>
    <xf numFmtId="0" fontId="62" fillId="33" borderId="60" xfId="0" applyFont="1" applyFill="1" applyBorder="1" applyAlignment="1">
      <alignment horizontal="left" vertical="center" indent="1"/>
    </xf>
    <xf numFmtId="198" fontId="58" fillId="28" borderId="60" xfId="0" applyNumberFormat="1" applyFont="1" applyFill="1" applyBorder="1" applyAlignment="1">
      <alignment horizontal="center" vertical="center"/>
    </xf>
    <xf numFmtId="198" fontId="58" fillId="0" borderId="25" xfId="0" applyNumberFormat="1" applyFont="1" applyBorder="1" applyAlignment="1">
      <alignment horizontal="center" vertical="center"/>
    </xf>
    <xf numFmtId="198" fontId="58" fillId="28" borderId="108" xfId="0" applyNumberFormat="1" applyFont="1" applyFill="1" applyBorder="1" applyAlignment="1">
      <alignment horizontal="center" vertical="center"/>
    </xf>
    <xf numFmtId="198" fontId="58" fillId="28" borderId="22" xfId="0" applyNumberFormat="1" applyFont="1" applyFill="1" applyBorder="1" applyAlignment="1">
      <alignment horizontal="center" vertical="center"/>
    </xf>
    <xf numFmtId="198" fontId="58" fillId="28" borderId="109" xfId="0" applyNumberFormat="1" applyFont="1" applyFill="1" applyBorder="1" applyAlignment="1">
      <alignment horizontal="center" vertical="center"/>
    </xf>
    <xf numFmtId="195" fontId="56" fillId="0" borderId="29" xfId="0" applyNumberFormat="1" applyFont="1" applyBorder="1" applyAlignment="1">
      <alignment horizontal="right"/>
    </xf>
    <xf numFmtId="195" fontId="59" fillId="25" borderId="110" xfId="0" applyNumberFormat="1" applyFont="1" applyFill="1" applyBorder="1" applyAlignment="1">
      <alignment horizontal="right"/>
    </xf>
    <xf numFmtId="0" fontId="63" fillId="28" borderId="110" xfId="0" applyFont="1" applyFill="1" applyBorder="1" applyAlignment="1">
      <alignment horizontal="left" vertical="center" indent="1"/>
    </xf>
    <xf numFmtId="10" fontId="40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198" fontId="47" fillId="0" borderId="0" xfId="0" applyNumberFormat="1" applyFont="1" applyAlignment="1">
      <alignment vertical="center"/>
    </xf>
    <xf numFmtId="206" fontId="64" fillId="0" borderId="0" xfId="0" applyNumberFormat="1" applyFont="1" applyAlignment="1">
      <alignment vertical="center"/>
    </xf>
    <xf numFmtId="0" fontId="4" fillId="0" borderId="0" xfId="0" applyFont="1"/>
    <xf numFmtId="0" fontId="21" fillId="0" borderId="0" xfId="0" applyFont="1" applyAlignment="1">
      <alignment horizontal="right"/>
    </xf>
    <xf numFmtId="207" fontId="23" fillId="4" borderId="111" xfId="0" applyNumberFormat="1" applyFont="1" applyFill="1" applyBorder="1"/>
    <xf numFmtId="207" fontId="21" fillId="14" borderId="111" xfId="0" applyNumberFormat="1" applyFont="1" applyFill="1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indent="1" shrinkToFit="1"/>
    </xf>
    <xf numFmtId="0" fontId="6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 shrinkToFit="1"/>
    </xf>
    <xf numFmtId="0" fontId="9" fillId="0" borderId="3" xfId="0" applyFont="1" applyBorder="1" applyAlignment="1">
      <alignment vertical="center" indent="2"/>
    </xf>
    <xf numFmtId="0" fontId="10" fillId="0" borderId="3" xfId="0" applyFont="1" applyBorder="1" applyAlignment="1">
      <alignment vertical="center" indent="2"/>
    </xf>
    <xf numFmtId="0" fontId="11" fillId="0" borderId="3" xfId="0" applyFont="1" applyBorder="1" applyAlignment="1">
      <alignment vertical="center" indent="2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center" shrinkToFit="1"/>
    </xf>
    <xf numFmtId="0" fontId="0" fillId="0" borderId="4" xfId="0" applyBorder="1"/>
    <xf numFmtId="0" fontId="18" fillId="0" borderId="5" xfId="0" applyFont="1" applyBorder="1" applyAlignment="1">
      <alignment vertical="center" wrapText="1"/>
    </xf>
    <xf numFmtId="0" fontId="15" fillId="0" borderId="0" xfId="0" applyFont="1"/>
    <xf numFmtId="0" fontId="19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20" fillId="2" borderId="0" xfId="0" applyFont="1" applyFill="1" applyAlignment="1">
      <alignment indent="1"/>
    </xf>
    <xf numFmtId="0" fontId="21" fillId="5" borderId="0" xfId="0" applyFont="1" applyFill="1" applyAlignment="1">
      <alignment vertical="center" indent="1" shrinkToFit="1"/>
    </xf>
    <xf numFmtId="176" fontId="22" fillId="2" borderId="0" xfId="0" applyNumberFormat="1" applyFont="1" applyFill="1" applyAlignment="1">
      <alignment vertical="center" indent="1" shrinkToFit="1"/>
    </xf>
    <xf numFmtId="0" fontId="20" fillId="2" borderId="0" xfId="0" applyFont="1" applyFill="1" applyAlignment="1">
      <alignment vertical="center" shrinkToFit="1"/>
    </xf>
    <xf numFmtId="0" fontId="23" fillId="5" borderId="0" xfId="0" applyFont="1" applyFill="1" applyAlignment="1">
      <alignment vertical="center" indent="1" shrinkToFit="1"/>
    </xf>
    <xf numFmtId="0" fontId="25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21" fillId="9" borderId="9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center" vertical="center" shrinkToFit="1"/>
    </xf>
    <xf numFmtId="0" fontId="31" fillId="12" borderId="12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15" fillId="0" borderId="0" xfId="0" applyFont="1" applyAlignment="1">
      <alignment horizontal="righ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vertical="center" wrapText="1"/>
    </xf>
    <xf numFmtId="0" fontId="17" fillId="23" borderId="9" xfId="0" applyFont="1" applyFill="1" applyBorder="1" applyAlignment="1">
      <alignment horizontal="left" vertical="center"/>
    </xf>
    <xf numFmtId="0" fontId="18" fillId="23" borderId="9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vertical="center" wrapText="1"/>
    </xf>
    <xf numFmtId="188" fontId="18" fillId="0" borderId="8" xfId="0" applyNumberFormat="1" applyFont="1" applyBorder="1" applyAlignment="1">
      <alignment horizontal="right" vertical="center"/>
    </xf>
    <xf numFmtId="192" fontId="18" fillId="0" borderId="8" xfId="0" applyNumberFormat="1" applyFont="1" applyBorder="1" applyAlignment="1">
      <alignment horizontal="right" vertical="center"/>
    </xf>
    <xf numFmtId="0" fontId="13" fillId="0" borderId="0" xfId="0" applyFont="1" applyAlignment="1">
      <alignment wrapText="1"/>
    </xf>
    <xf numFmtId="0" fontId="10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/>
    </xf>
    <xf numFmtId="0" fontId="41" fillId="25" borderId="0" xfId="0" applyFont="1" applyFill="1" applyAlignment="1">
      <alignment horizontal="center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5" fillId="26" borderId="26" xfId="0" applyFont="1" applyFill="1" applyBorder="1" applyAlignment="1">
      <alignment horizontal="center" vertical="center"/>
    </xf>
    <xf numFmtId="0" fontId="45" fillId="26" borderId="27" xfId="0" applyFont="1" applyFill="1" applyBorder="1" applyAlignment="1">
      <alignment horizontal="center" vertical="center"/>
    </xf>
    <xf numFmtId="195" fontId="45" fillId="27" borderId="30" xfId="0" applyNumberFormat="1" applyFont="1" applyFill="1" applyBorder="1" applyAlignment="1">
      <alignment horizontal="center" vertical="center" wrapText="1"/>
    </xf>
    <xf numFmtId="0" fontId="45" fillId="27" borderId="31" xfId="0" applyFont="1" applyFill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5" fillId="27" borderId="61" xfId="0" applyFont="1" applyFill="1" applyBorder="1" applyAlignment="1">
      <alignment horizontal="center" vertical="center"/>
    </xf>
    <xf numFmtId="0" fontId="45" fillId="0" borderId="68" xfId="0" applyFont="1" applyBorder="1" applyAlignment="1">
      <alignment horizontal="center" vertical="center" textRotation="255"/>
    </xf>
    <xf numFmtId="0" fontId="45" fillId="0" borderId="78" xfId="0" applyFont="1" applyBorder="1" applyAlignment="1">
      <alignment horizontal="center" vertical="center" textRotation="255"/>
    </xf>
    <xf numFmtId="0" fontId="45" fillId="30" borderId="91" xfId="0" applyFont="1" applyFill="1" applyBorder="1" applyAlignment="1">
      <alignment horizontal="center" vertical="center"/>
    </xf>
    <xf numFmtId="0" fontId="45" fillId="0" borderId="85" xfId="0" applyFont="1" applyBorder="1" applyAlignment="1">
      <alignment horizontal="center" vertical="center" textRotation="255"/>
    </xf>
    <xf numFmtId="0" fontId="45" fillId="27" borderId="96" xfId="0" applyFont="1" applyFill="1" applyBorder="1" applyAlignment="1">
      <alignment horizontal="center" vertical="center"/>
    </xf>
    <xf numFmtId="0" fontId="45" fillId="0" borderId="30" xfId="0" applyFont="1" applyBorder="1" applyAlignment="1">
      <alignment horizontal="center" vertical="center" textRotation="255"/>
    </xf>
    <xf numFmtId="0" fontId="45" fillId="0" borderId="23" xfId="0" applyFont="1" applyBorder="1" applyAlignment="1">
      <alignment horizontal="center" vertical="center" textRotation="255"/>
    </xf>
    <xf numFmtId="0" fontId="46" fillId="25" borderId="101" xfId="0" applyFont="1" applyFill="1" applyBorder="1" applyAlignment="1">
      <alignment horizontal="center" vertical="center"/>
    </xf>
    <xf numFmtId="0" fontId="46" fillId="31" borderId="60" xfId="0" applyFont="1" applyFill="1" applyBorder="1" applyAlignment="1">
      <alignment horizontal="center" vertical="center"/>
    </xf>
    <xf numFmtId="0" fontId="46" fillId="32" borderId="60" xfId="0" applyFont="1" applyFill="1" applyBorder="1" applyAlignment="1">
      <alignment horizontal="center" vertical="center"/>
    </xf>
    <xf numFmtId="0" fontId="62" fillId="33" borderId="107" xfId="0" applyFont="1" applyFill="1" applyBorder="1" applyAlignment="1">
      <alignment horizontal="center" vertical="center"/>
    </xf>
    <xf numFmtId="0" fontId="58" fillId="28" borderId="107" xfId="0" applyFont="1" applyFill="1" applyBorder="1" applyAlignment="1">
      <alignment horizontal="center" vertical="center" wrapText="1"/>
    </xf>
    <xf numFmtId="0" fontId="71" fillId="34" borderId="112" xfId="0" applyFont="1" applyAlignment="1">
      <alignment horizontal="right" vertical="bottom"/>
    </xf>
    <xf numFmtId="0" fontId="72" fillId="35" borderId="113" xfId="0" applyFont="1" applyAlignment="1">
      <alignment horizontal="right" vertical="top"/>
    </xf>
    <xf numFmtId="0" fontId="73" fillId="36" borderId="114" xfId="0" applyFont="1" applyAlignment="1">
      <alignment horizontal="center" shrinkToFit="1"/>
    </xf>
    <xf numFmtId="0" fontId="74" fillId="37" borderId="115" xfId="0" applyFont="1" applyFill="1" applyBorder="1" applyAlignment="1">
      <alignment horizontal="left" vertical="center" indent="1"/>
    </xf>
    <xf numFmtId="208" fontId="75" fillId="38" borderId="116" xfId="0" applyNumberFormat="1" applyFont="1" applyFill="1" applyBorder="1"/>
    <xf numFmtId="0" fontId="76" fillId="39" borderId="117" xfId="0" applyFont="1" applyFill="1" applyBorder="1" applyAlignment="1">
      <alignment vertical="center" shrinkToFit="1"/>
    </xf>
    <xf numFmtId="0" fontId="77" fillId="40" borderId="118" xfId="0" applyFont="1" applyFill="1" applyBorder="1"/>
    <xf numFmtId="208" fontId="78" fillId="41" borderId="119" xfId="0" applyNumberFormat="1" applyFont="1" applyFill="1" applyBorder="1"/>
    <xf numFmtId="0" fontId="79" fillId="42" borderId="120" xfId="0" applyFont="1" applyFill="1" applyBorder="1"/>
    <xf numFmtId="208" fontId="80" fillId="43" borderId="121" xfId="0" applyNumberFormat="1" applyFont="1" applyFill="1" applyBorder="1"/>
    <xf numFmtId="0" fontId="81" fillId="44" borderId="122" xfId="0" applyFont="1" applyAlignment="1">
      <alignment horizontal="center" vertical="center" shrinkToFit="1"/>
    </xf>
    <xf numFmtId="0" fontId="82" fillId="45" borderId="123" xfId="0" applyFont="1" applyFill="1" applyBorder="1" applyAlignment="1">
      <alignment horizontal="center"/>
    </xf>
    <xf numFmtId="209" fontId="75" fillId="38" borderId="116" xfId="0" applyNumberFormat="1" applyFont="1" applyFill="1" applyBorder="1"/>
    <xf numFmtId="209" fontId="78" fillId="41" borderId="119" xfId="0" applyNumberFormat="1" applyFont="1" applyFill="1" applyBorder="1"/>
    <xf numFmtId="209" fontId="80" fillId="43" borderId="121" xfId="0" applyNumberFormat="1" applyFont="1" applyFill="1" applyBorder="1"/>
    <xf numFmtId="180" fontId="75" fillId="38" borderId="116" xfId="0" applyNumberFormat="1" applyFont="1" applyFill="1" applyBorder="1"/>
    <xf numFmtId="180" fontId="78" fillId="41" borderId="119" xfId="0" applyNumberFormat="1" applyFont="1" applyFill="1" applyBorder="1"/>
    <xf numFmtId="180" fontId="80" fillId="43" borderId="121" xfId="0" applyNumberFormat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24000</xdr:colOff>
      <xdr:row>2</xdr:row>
      <xdr:rowOff>115000</xdr:rowOff>
    </xdr:from>
    <xdr:ext cx="1143000" cy="4381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24000</xdr:colOff>
      <xdr:row>9</xdr:row>
      <xdr:rowOff>19999</xdr:rowOff>
    </xdr:from>
    <xdr:ext cx="6515100" cy="43434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54000</xdr:colOff>
      <xdr:row>30</xdr:row>
      <xdr:rowOff>17000</xdr:rowOff>
    </xdr:from>
    <xdr:ext cx="600075" cy="819150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37333</xdr:colOff>
      <xdr:row>43</xdr:row>
      <xdr:rowOff>28499</xdr:rowOff>
    </xdr:from>
    <xdr:ext cx="971550" cy="112395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48000</xdr:colOff>
      <xdr:row>51</xdr:row>
      <xdr:rowOff>40000</xdr:rowOff>
    </xdr:from>
    <xdr:ext cx="1619250" cy="628650"/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7500</xdr:colOff>
      <xdr:row>0</xdr:row>
      <xdr:rowOff>70000</xdr:rowOff>
    </xdr:from>
    <xdr:ext cx="1428750" cy="5524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26388</xdr:colOff>
      <xdr:row>17</xdr:row>
      <xdr:rowOff>15599</xdr:rowOff>
    </xdr:from>
    <xdr:ext cx="666750" cy="9144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5000</xdr:colOff>
      <xdr:row>45</xdr:row>
      <xdr:rowOff>149999</xdr:rowOff>
    </xdr:from>
    <xdr:ext cx="0" cy="0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22500</xdr:colOff>
      <xdr:row>45</xdr:row>
      <xdr:rowOff>39999</xdr:rowOff>
    </xdr:from>
    <xdr:ext cx="504825" cy="59055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16500</xdr:colOff>
      <xdr:row>0</xdr:row>
      <xdr:rowOff>55000</xdr:rowOff>
    </xdr:from>
    <xdr:ext cx="676275" cy="6667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122</xdr:row>
      <xdr:rowOff>17999</xdr:rowOff>
    </xdr:from>
    <xdr:ext cx="0" cy="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18000</xdr:colOff>
      <xdr:row>0</xdr:row>
      <xdr:rowOff>55000</xdr:rowOff>
    </xdr:from>
    <xdr:ext cx="857250" cy="3333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56"/>
  <sheetViews>
    <sheetView showGridLines="0" tabSelected="1" workbookViewId="0"/>
  </sheetViews>
  <sheetFormatPr defaultRowHeight="15.65"/>
  <cols>
    <col min="1" max="10" width="9.5546875" customWidth="1"/>
  </cols>
  <sheetData>
    <row r="1" spans="1:10" ht="10.05000000000000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.1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46.05" customHeight="1">
      <c r="F3" s="508" t="s">
        <v>0</v>
      </c>
      <c r="G3" s="508"/>
      <c r="H3" s="508"/>
      <c r="I3" s="508"/>
      <c r="J3" s="508"/>
    </row>
    <row r="4" spans="1:10" ht="18" customHeight="1"/>
    <row r="5" spans="1:10" ht="28.05" customHeight="1">
      <c r="A5" s="509" t="inlineStr">
        <is>
          <t xml:space="preserve">공장 ○○사업장  보안용역 도급업무</t>
        </is>
      </c>
      <c r="B5" s="509"/>
      <c r="C5" s="509"/>
      <c r="D5" s="509"/>
      <c r="E5" s="509"/>
      <c r="F5" s="509"/>
      <c r="G5" s="509"/>
      <c r="H5" s="509"/>
      <c r="I5" s="509"/>
      <c r="J5" s="509"/>
    </row>
    <row r="6" spans="1:10" ht="64.05" customHeight="1">
      <c r="A6" s="510" t="s">
        <v>2</v>
      </c>
      <c r="B6" s="510"/>
      <c r="C6" s="510"/>
      <c r="D6" s="510"/>
      <c r="E6" s="510"/>
      <c r="F6" s="510"/>
      <c r="G6" s="510"/>
      <c r="H6" s="510"/>
      <c r="I6" s="510"/>
      <c r="J6" s="510"/>
    </row>
    <row r="7" spans="1:10" ht="18" customHeight="1">
      <c r="A7" s="511" t="inlineStr">
        <is>
          <t xml:space="preserve">2027년 용역 도급 견적서   ·   Q U O T A T I O N</t>
        </is>
      </c>
      <c r="B7" s="511"/>
      <c r="C7" s="511"/>
      <c r="D7" s="511"/>
      <c r="E7" s="511"/>
      <c r="F7" s="511"/>
      <c r="G7" s="511"/>
      <c r="H7" s="511"/>
      <c r="I7" s="511"/>
      <c r="J7" s="511"/>
    </row>
    <row r="8" spans="1:10" ht="10.050000000000001" customHeight="1">
      <c r="C8" s="3"/>
      <c r="D8" s="3"/>
      <c r="E8" s="3"/>
      <c r="F8" s="3"/>
      <c r="G8" s="3"/>
      <c r="H8" s="3"/>
    </row>
    <row r="9" spans="1:10" ht="13.95" customHeight="1"/>
    <row r="10" spans="1:10" ht="20.05" customHeight="1"/>
    <row r="11" spans="1:10" ht="20.05" customHeight="1"/>
    <row r="12" spans="1:10" ht="20.05" customHeight="1"/>
    <row r="13" spans="1:10" ht="20.05" customHeight="1"/>
    <row r="14" spans="1:10" ht="20.05" customHeight="1"/>
    <row r="15" spans="1:10" ht="20.05" customHeight="1"/>
    <row r="16" spans="1:10" ht="20.05" customHeight="1"/>
    <row r="17" spans="1:10" ht="20.05" customHeight="1"/>
    <row r="18" spans="1:10" ht="20.05" customHeight="1"/>
    <row r="19" spans="1:10" ht="20.05" customHeight="1"/>
    <row r="20" spans="1:10" ht="20.05" customHeight="1"/>
    <row r="21" spans="1:10" ht="20.05" customHeight="1"/>
    <row r="22" spans="1:10" ht="20.05" customHeight="1"/>
    <row r="23" spans="1:10" ht="20.05" customHeight="1"/>
    <row r="24" spans="1:10" ht="20.05" customHeight="1"/>
    <row r="25" spans="1:10" ht="20.05" customHeight="1"/>
    <row r="26" spans="1:10" ht="20.05" customHeight="1"/>
    <row r="27" spans="1:10" ht="20.05" customHeight="1"/>
    <row r="28" spans="1:10" ht="20.05" customHeight="1"/>
    <row r="29" spans="1:10" ht="10.050000000000001" customHeight="1"/>
    <row r="30" spans="1:10" ht="18" customHeight="1">
      <c r="A30" s="512" t="s">
        <v>4</v>
      </c>
      <c r="B30" s="512"/>
      <c r="C30" s="512"/>
      <c r="D30" s="512"/>
      <c r="E30" s="512"/>
      <c r="F30" s="512"/>
      <c r="G30" s="512"/>
      <c r="H30" s="512"/>
      <c r="I30" s="512"/>
      <c r="J30" s="512"/>
    </row>
    <row r="31" spans="1:10" ht="17" customHeight="1"/>
    <row r="32" spans="1:10" ht="17" customHeight="1"/>
    <row r="33" spans="1:10" ht="17" customHeight="1"/>
    <row r="34" spans="1:10" ht="17" customHeight="1"/>
    <row r="35" spans="1:10" ht="18" customHeight="1">
      <c r="A35" s="513" t="str">
        <f>"보안(경비) "&amp;(N('2. 견적서'!F28)+N('2. 견적서'!F29)+N('2. 견적서'!F30))&amp;"명"&amp;" ("&amp;"경비원 "&amp;(N('2. 견적서'!F28))&amp;" · "&amp;"단시간 경비원 "&amp;(N('2. 견적서'!F29))&amp;" · "&amp;"— "&amp;(N('2. 견적서'!F30))&amp;")"</f>
        <v>보안(경비) 11명 (경비원 10 · 단시간 경비원 1 · — 0)</v>
      </c>
      <c r="B35" s="513"/>
      <c r="C35" s="513"/>
      <c r="D35" s="513"/>
      <c r="E35" s="513"/>
      <c r="F35" s="513"/>
      <c r="G35" s="513"/>
      <c r="H35" s="513"/>
      <c r="I35" s="513"/>
      <c r="J35" s="513"/>
    </row>
    <row r="37" spans="1:10" ht="22.1" customHeight="1">
      <c r="B37" s="514" t="s">
        <v>5</v>
      </c>
      <c r="C37" s="514"/>
      <c r="D37" s="515" t="inlineStr">
        <is>
          <t xml:space="preserve">공장 ○○사업장 貴中</t>
        </is>
      </c>
      <c r="E37" s="515"/>
      <c r="F37" s="515"/>
      <c r="G37" s="515"/>
      <c r="H37" s="515"/>
      <c r="I37" s="515"/>
    </row>
    <row r="38" spans="1:10" ht="22.1" customHeight="1">
      <c r="B38" s="514" t="s">
        <v>7</v>
      </c>
      <c r="C38" s="514"/>
      <c r="D38" s="515" t="inlineStr">
        <is>
          <t xml:space="preserve">보안용역 도급업무</t>
        </is>
      </c>
      <c r="E38" s="515"/>
      <c r="F38" s="515"/>
      <c r="G38" s="515"/>
      <c r="H38" s="515"/>
      <c r="I38" s="515"/>
    </row>
    <row r="39" spans="1:10" ht="22.1" customHeight="1">
      <c r="B39" s="514" t="s">
        <v>9</v>
      </c>
      <c r="C39" s="514"/>
      <c r="D39" s="515" t="inlineStr">
        <is>
          <t xml:space="preserve">2027. 1. 1 ~ 2027. 12. 31 (12개월)</t>
        </is>
      </c>
      <c r="E39" s="515"/>
      <c r="F39" s="515"/>
      <c r="G39" s="515"/>
      <c r="H39" s="515"/>
      <c r="I39" s="515"/>
    </row>
    <row r="40" spans="1:10" ht="22.1" customHeight="1">
      <c r="B40" s="516" t="s">
        <v>11</v>
      </c>
      <c r="C40" s="516"/>
      <c r="D40" s="517" t="str">
        <f>"월 "&amp;TEXT('2. 견적서'!I31,"#,##0")&amp;"원 (VAT 별도)  ·  "&amp;'2. 견적서'!F31&amp;"명"</f>
        <v>월 34,603,000원 (VAT 별도)  ·  11명</v>
      </c>
      <c r="E40" s="517"/>
      <c r="F40" s="517"/>
      <c r="G40" s="517"/>
      <c r="H40" s="517"/>
      <c r="I40" s="517"/>
    </row>
    <row r="41" spans="1:10" ht="22.1" customHeight="1">
      <c r="B41" s="514" t="s">
        <v>12</v>
      </c>
      <c r="C41" s="514"/>
      <c r="D41" s="515" t="str">
        <f>IF(N('2. 견적서'!G31)=0,"신규 견적 · 전년 대비 해당 없음","전년 월 "&amp;TEXT('2. 견적서'!G31,"#,##0")&amp;"원 → 월 "&amp;TEXT('2. 견적서'!I31,"#,##0")&amp;"원 ("&amp;IF('2. 견적서'!I31&gt;='2. 견적서'!G31,"▲ ","▼ ")&amp;TEXT(ABS('2. 견적서'!I31/'2. 견적서'!G31-1)*100,"0.0")&amp;"%)")</f>
        <v>신규 견적 · 전년 대비 해당 없음</v>
      </c>
      <c r="E41" s="515"/>
      <c r="F41" s="515"/>
      <c r="G41" s="515"/>
      <c r="H41" s="515"/>
      <c r="I41" s="515"/>
    </row>
    <row r="42" spans="1:10" ht="22.1" customHeight="1">
      <c r="B42" s="514" t="s">
        <v>13</v>
      </c>
      <c r="C42" s="514"/>
      <c r="D42" s="515" t="inlineStr">
        <is>
          <t xml:space="preserve">2027년 최저임금 10,700원 · 4대보험 에스텍시스템 요율</t>
        </is>
      </c>
      <c r="E42" s="515"/>
      <c r="F42" s="515"/>
      <c r="G42" s="515"/>
      <c r="H42" s="515"/>
      <c r="I42" s="515"/>
    </row>
    <row r="44" spans="1:10" ht="19.05" customHeight="1"/>
    <row r="45" spans="1:10" ht="19.05" customHeight="1">
      <c r="D45" s="518" t="s">
        <v>15</v>
      </c>
      <c r="E45" s="518"/>
      <c r="F45" s="518"/>
      <c r="G45" s="518"/>
      <c r="H45" s="518"/>
      <c r="I45" s="518"/>
    </row>
    <row r="46" spans="1:10" ht="19.05" customHeight="1">
      <c r="D46" s="519" t="inlineStr">
        <is>
          <t xml:space="preserve"/>
        </is>
      </c>
      <c r="E46" s="519"/>
      <c r="F46" s="519"/>
      <c r="G46" s="519"/>
      <c r="H46" s="519"/>
      <c r="I46" s="519"/>
    </row>
    <row r="47" spans="1:10" ht="19.05" customHeight="1">
      <c r="D47" s="520" t="s">
        <v>0</v>
      </c>
      <c r="E47" s="520"/>
      <c r="F47" s="520"/>
      <c r="G47" s="520"/>
      <c r="H47" s="520"/>
      <c r="I47" s="520"/>
    </row>
    <row r="48" spans="1:10" ht="19.05" customHeight="1"/>
    <row r="50" spans="1:10" ht="30.1" customHeight="1">
      <c r="A50" s="521" t="inlineStr">
        <is>
          <t xml:space="preserve">2026년  10월</t>
        </is>
      </c>
      <c r="B50" s="521"/>
      <c r="C50" s="521"/>
      <c r="D50" s="521"/>
      <c r="E50" s="521"/>
      <c r="F50" s="521"/>
      <c r="G50" s="521"/>
      <c r="H50" s="521"/>
      <c r="I50" s="521"/>
      <c r="J50" s="521"/>
    </row>
    <row r="52" spans="1:10" ht="40.1" customHeight="1">
      <c r="F52" s="522" t="s">
        <v>18</v>
      </c>
      <c r="G52" s="522"/>
      <c r="H52" s="522"/>
      <c r="I52" s="522"/>
      <c r="J52" s="522"/>
    </row>
    <row r="53" spans="1:10" ht="19.55" customHeight="1"/>
    <row r="54" spans="1:10" ht="16" customHeight="1">
      <c r="A54" s="523" t="s">
        <v>19</v>
      </c>
      <c r="B54" s="523"/>
      <c r="C54" s="523"/>
      <c r="D54" s="523"/>
      <c r="E54" s="523"/>
      <c r="F54" s="523"/>
      <c r="G54" s="523"/>
      <c r="H54" s="523"/>
      <c r="I54" s="523"/>
      <c r="J54" s="523"/>
    </row>
    <row r="55" spans="1:10" ht="3.1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0.05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mergeCells count="24">
    <mergeCell ref="A50:J50"/>
    <mergeCell ref="F52:J52"/>
    <mergeCell ref="A54:J54"/>
    <mergeCell ref="B42:C42"/>
    <mergeCell ref="D42:I42"/>
    <mergeCell ref="D45:I45"/>
    <mergeCell ref="D46:I46"/>
    <mergeCell ref="D47:I47"/>
    <mergeCell ref="B39:C39"/>
    <mergeCell ref="D39:I39"/>
    <mergeCell ref="B40:C40"/>
    <mergeCell ref="D40:I40"/>
    <mergeCell ref="B41:C41"/>
    <mergeCell ref="D41:I41"/>
    <mergeCell ref="A35:J35"/>
    <mergeCell ref="B37:C37"/>
    <mergeCell ref="D37:I37"/>
    <mergeCell ref="B38:C38"/>
    <mergeCell ref="D38:I38"/>
    <mergeCell ref="F3:J3"/>
    <mergeCell ref="A5:J5"/>
    <mergeCell ref="A6:J6"/>
    <mergeCell ref="A7:J7"/>
    <mergeCell ref="A30:J30"/>
  </mergeCells>
  <phoneticPr fontId="70" type="noConversion"/>
  <printOptions horizontalCentered="1"/>
  <pageMargins left="0.35" right="0.35" top="0.35" bottom="0.35" header="0" footer="0"/>
  <pageSetup paperSize="9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K47"/>
  <sheetViews>
    <sheetView showGridLines="0" workbookViewId="0"/>
  </sheetViews>
  <sheetFormatPr defaultRowHeight="15.65"/>
  <cols>
    <col min="1" max="1" width="5" customWidth="1"/>
    <col min="2" max="2" width="11" customWidth="1"/>
    <col min="4" max="4" width="15" customWidth="1"/>
    <col min="5" max="5" width="16" customWidth="1"/>
    <col min="6" max="6" width="7" customWidth="1"/>
    <col min="7" max="8" width="13" customWidth="1"/>
    <col min="9" max="9" width="15" customWidth="1"/>
    <col min="10" max="10" width="13" customWidth="1"/>
    <col min="11" max="11" width="14" customWidth="1"/>
  </cols>
  <sheetData>
    <row r="1" spans="1:11" ht="28.05" customHeight="1">
      <c r="D1" s="524" t="s">
        <v>20</v>
      </c>
      <c r="E1" s="524"/>
      <c r="F1" s="524"/>
      <c r="G1" s="524"/>
      <c r="H1" s="524"/>
      <c r="I1" s="524"/>
      <c r="J1" s="525" t="inlineStr">
        <is>
          <t xml:space="preserve">No. 261029-0425</t>
        </is>
      </c>
      <c r="K1" s="525"/>
    </row>
    <row r="2" spans="1:11" ht="28.05" customHeight="1">
      <c r="D2" s="524"/>
      <c r="E2" s="524"/>
      <c r="F2" s="524"/>
      <c r="G2" s="524"/>
      <c r="H2" s="524"/>
      <c r="I2" s="524"/>
      <c r="J2" s="526" t="inlineStr">
        <is>
          <t xml:space="preserve">작성일 2026. 10. 29</t>
        </is>
      </c>
      <c r="K2" s="526"/>
    </row>
    <row r="3" spans="1:11" ht="13.95" customHeight="1">
      <c r="D3" s="527" t="inlineStr">
        <is>
          <t xml:space="preserve">Q U O T A T I O N  ·  2027년 견적</t>
        </is>
      </c>
      <c r="E3" s="527"/>
      <c r="F3" s="527"/>
      <c r="G3" s="527"/>
      <c r="H3" s="527"/>
      <c r="I3" s="527"/>
    </row>
    <row r="4" spans="1:11" ht="4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.549999999999999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7" spans="1:11" ht="19.05" customHeight="1">
      <c r="A7" s="528" t="inlineStr">
        <is>
          <t xml:space="preserve">공장 ○○사업장  貴中</t>
        </is>
      </c>
      <c r="B7" s="528"/>
      <c r="C7" s="528"/>
      <c r="D7" s="528"/>
      <c r="E7" s="528"/>
      <c r="F7" s="6" t="s">
        <v>25</v>
      </c>
      <c r="G7" s="529" t="s">
        <v>26</v>
      </c>
      <c r="H7" s="529"/>
      <c r="I7" s="529"/>
      <c r="J7" s="529"/>
      <c r="K7" s="529"/>
    </row>
    <row r="8" spans="1:11" ht="19.05" customHeight="1">
      <c r="A8" s="530" t="s">
        <v>7</v>
      </c>
      <c r="B8" s="530"/>
      <c r="C8" s="531" t="inlineStr">
        <is>
          <t xml:space="preserve">보안용역 도급업무</t>
        </is>
      </c>
      <c r="D8" s="531"/>
      <c r="E8" s="531"/>
      <c r="F8" s="6" t="s">
        <v>27</v>
      </c>
      <c r="G8" s="7" t="s">
        <v>28</v>
      </c>
      <c r="H8" s="6" t="s">
        <v>29</v>
      </c>
      <c r="I8" s="529" t="s">
        <v>30</v>
      </c>
      <c r="J8" s="529"/>
      <c r="K8" s="529"/>
    </row>
    <row r="9" spans="1:11" ht="19.05" customHeight="1">
      <c r="A9" s="530" t="s">
        <v>9</v>
      </c>
      <c r="B9" s="530"/>
      <c r="C9" s="531" t="inlineStr">
        <is>
          <t xml:space="preserve">2027. 1. 1 ~ 2027. 12. 31 (12개월)</t>
        </is>
      </c>
      <c r="D9" s="531"/>
      <c r="E9" s="531"/>
      <c r="F9" s="6" t="s">
        <v>31</v>
      </c>
      <c r="G9" s="529" t="s">
        <v>32</v>
      </c>
      <c r="H9" s="529"/>
      <c r="I9" s="529"/>
      <c r="J9" s="529"/>
      <c r="K9" s="529"/>
    </row>
    <row r="10" spans="1:11" ht="19.05" customHeight="1">
      <c r="A10" s="530" t="s">
        <v>33</v>
      </c>
      <c r="B10" s="530"/>
      <c r="C10" s="531" t="inlineStr">
        <is>
          <t xml:space="preserve">작성일로부터 1개월</t>
        </is>
      </c>
      <c r="D10" s="531"/>
      <c r="E10" s="531"/>
      <c r="F10" s="6" t="s">
        <v>35</v>
      </c>
      <c r="G10" s="7" t="s">
        <v>36</v>
      </c>
      <c r="H10" s="6" t="s">
        <v>37</v>
      </c>
      <c r="I10" s="529" t="s">
        <v>38</v>
      </c>
      <c r="J10" s="529"/>
      <c r="K10" s="529"/>
    </row>
    <row r="11" spans="1:11" ht="19.05" customHeight="1">
      <c r="A11" s="530" t="s">
        <v>39</v>
      </c>
      <c r="B11" s="530"/>
      <c r="C11" s="531" t="inlineStr">
        <is>
          <t xml:space="preserve"/>
        </is>
      </c>
      <c r="D11" s="531"/>
      <c r="E11" s="531"/>
      <c r="F11" s="6" t="s">
        <v>41</v>
      </c>
      <c r="G11" s="529" t="s">
        <v>42</v>
      </c>
      <c r="H11" s="529"/>
      <c r="I11" s="529"/>
      <c r="J11" s="529"/>
      <c r="K11" s="529"/>
    </row>
    <row r="12" spans="1:11" ht="19.05" customHeight="1">
      <c r="A12" s="532" t="s">
        <v>43</v>
      </c>
      <c r="B12" s="532"/>
      <c r="C12" s="532"/>
      <c r="D12" s="532"/>
      <c r="E12" s="532"/>
      <c r="F12" s="6" t="s">
        <v>44</v>
      </c>
      <c r="G12" s="529" t="inlineStr">
        <is>
          <t xml:space="preserve">에스텍베스트</t>
        </is>
      </c>
      <c r="H12" s="529"/>
      <c r="I12" s="529"/>
      <c r="J12" s="529"/>
      <c r="K12" s="529"/>
    </row>
    <row r="14" spans="1:11" ht="18" customHeight="1">
      <c r="A14" s="533" t="s">
        <v>46</v>
      </c>
      <c r="B14" s="533"/>
      <c r="C14" s="533"/>
      <c r="D14" s="533"/>
      <c r="E14" s="533"/>
      <c r="F14" s="533"/>
      <c r="G14" s="534" t="str">
        <f>"부가세 포함 월  "&amp;TEXT(I33,"#,##0")&amp;"원   ·   "&amp;F31&amp;"명 / 평균 "&amp;TEXT(IF(N(F31)=0,0,SUM(I28:I30)/F31),"#,##0")&amp;"원"</f>
        <v>부가세 포함 월  38,063,300원   ·   11명 / 평균 3,145,727원</v>
      </c>
      <c r="H14" s="534"/>
      <c r="I14" s="534"/>
      <c r="J14" s="534"/>
      <c r="K14" s="534"/>
    </row>
    <row r="15" spans="1:11" ht="30.1" customHeight="1">
      <c r="A15" s="535">
        <f>I31</f>
        <v>34603000</v>
      </c>
      <c r="B15" s="535"/>
      <c r="C15" s="535"/>
      <c r="D15" s="536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삼천사백육십만삼천원정</v>
      </c>
      <c r="E15" s="536"/>
      <c r="F15" s="536"/>
      <c r="G15" s="537" t="str">
        <f>"계약기간 12개월 총액  "&amp;TEXT(I34,"#,##0")&amp;"원 (VAT 별도)"</f>
        <v>계약기간 12개월 총액  274,524,000원 (VAT 별도)</v>
      </c>
      <c r="H15" s="537"/>
      <c r="I15" s="537"/>
      <c r="J15" s="537"/>
      <c r="K15" s="537"/>
    </row>
    <row r="17" spans="1:11">
      <c r="A17" s="8" t="s">
        <v>47</v>
      </c>
    </row>
    <row r="18" spans="1:11" ht="19.55" customHeight="1"/>
    <row r="19" spans="1:11" ht="19.55" customHeight="1"/>
    <row r="20" spans="1:11" ht="19.55" customHeight="1"/>
    <row r="21" spans="1:11" ht="19.55" customHeight="1"/>
    <row r="22" spans="1:11" ht="14.95" customHeight="1">
      <c r="A22" s="538" t="str">
        <f>"보안(경비)  "&amp;(N(F28)+N(F29)+N(F30))&amp;"명"</f>
        <v>보안(경비)  11명</v>
      </c>
      <c r="B22" s="538"/>
      <c r="C22" s="538"/>
    </row>
    <row r="23" spans="1:11" ht="14.95" customHeight="1">
      <c r="A23" s="539" t="str">
        <f>"경비원 "&amp;(N(F28))&amp;" · "&amp;"단시간 경비원 "&amp;(N(F29))&amp;" · "&amp;"— "&amp;(N(F30))</f>
        <v>경비원 10 · 단시간 경비원 1 · — 0</v>
      </c>
      <c r="B23" s="539"/>
      <c r="C23" s="539"/>
    </row>
    <row r="24" spans="1:11" ht="14.95" customHeight="1">
      <c r="A24" s="540" t="str">
        <f>"월 "&amp;TEXT(N(I28)+N(I29)+N(I30),"#,##0")&amp;"원"</f>
        <v>월 34,603,000원</v>
      </c>
      <c r="B24" s="540"/>
      <c r="C24" s="540"/>
    </row>
    <row r="26" spans="1:11">
      <c r="A26" s="8" t="s">
        <v>48</v>
      </c>
      <c r="K26" s="9" t="s">
        <v>49</v>
      </c>
    </row>
    <row r="27" spans="1:11" ht="22.1" customHeight="1">
      <c r="A27" s="10" t="s">
        <v>50</v>
      </c>
      <c r="B27" s="10" t="s">
        <v>51</v>
      </c>
      <c r="C27" s="10" t="s">
        <v>52</v>
      </c>
      <c r="D27" s="10" t="s">
        <v>53</v>
      </c>
      <c r="E27" s="10" t="s">
        <v>54</v>
      </c>
      <c r="F27" s="10" t="s">
        <v>55</v>
      </c>
      <c r="G27" s="10" t="inlineStr">
        <is>
          <t xml:space="preserve">2026년 단가</t>
        </is>
      </c>
      <c r="H27" s="10" t="inlineStr">
        <is>
          <t xml:space="preserve">2027년 단가</t>
        </is>
      </c>
      <c r="I27" s="10" t="s">
        <v>58</v>
      </c>
      <c r="J27" s="10" t="s">
        <v>59</v>
      </c>
      <c r="K27" s="10" t="s">
        <v>60</v>
      </c>
    </row>
    <row r="28" spans="1:11" ht="19.05" customHeight="1">
      <c r="A28" s="11">
        <v>1</v>
      </c>
      <c r="B28" s="12" t="inlineStr">
        <is>
          <t xml:space="preserve">보안</t>
        </is>
      </c>
      <c r="C28" s="13" t="inlineStr">
        <is>
          <t xml:space="preserve">경비원</t>
        </is>
      </c>
      <c r="D28" s="14" t="inlineStr">
        <is>
          <t xml:space="preserve"/>
        </is>
      </c>
      <c r="E28" s="14" t="inlineStr">
        <is>
          <t xml:space="preserve">주간 주5일 (8h/일)</t>
        </is>
      </c>
      <c r="F28" s="15">
        <f>'5. 산출내역서'!C10</f>
        <v>10</v>
      </c>
      <c r="G28" s="15"/>
      <c r="H28" s="15">
        <f>'5. 산출내역서'!C73</f>
        <v>3216000</v>
      </c>
      <c r="I28" s="16">
        <f>F28*H28</f>
        <v>32160000</v>
      </c>
      <c r="J28" s="17" t="str">
        <f>IF(N(G28)&gt;0,I28-F28*G28,"")</f>
        <v/>
      </c>
      <c r="K28" s="14" t="str">
        <f>IF(N(G28)&gt;0,IF(H28&gt;=G28,"▲ ","▼ ")&amp;TEXT(ABS(H28/G28-1)*100,"0.0")&amp;"%","")</f>
        <v/>
      </c>
    </row>
    <row r="29" spans="1:11" ht="19.05" customHeight="1">
      <c r="A29" s="18">
        <v>2</v>
      </c>
      <c r="B29" s="19" t="inlineStr">
        <is>
          <t xml:space="preserve">보안</t>
        </is>
      </c>
      <c r="C29" s="20" t="inlineStr">
        <is>
          <t xml:space="preserve">단시간 경비원</t>
        </is>
      </c>
      <c r="D29" s="21" t="inlineStr">
        <is>
          <t xml:space="preserve"/>
        </is>
      </c>
      <c r="E29" s="21" t="inlineStr">
        <is>
          <t xml:space="preserve">단시간 (주 29.5h)</t>
        </is>
      </c>
      <c r="F29" s="22">
        <f>'5. 산출내역서'!D10</f>
        <v>1</v>
      </c>
      <c r="G29" s="22"/>
      <c r="H29" s="22">
        <f>'5. 산출내역서'!D73</f>
        <v>2443000</v>
      </c>
      <c r="I29" s="23">
        <f>F29*H29</f>
        <v>2443000</v>
      </c>
      <c r="J29" s="24" t="str">
        <f>IF(N(G29)&gt;0,I29-F29*G29,"")</f>
        <v/>
      </c>
      <c r="K29" s="21" t="str">
        <f>IF(N(G29)&gt;0,IF(H29&gt;=G29,"▲ ","▼ ")&amp;TEXT(ABS(H29/G29-1)*100,"0.0")&amp;"%","")</f>
        <v/>
      </c>
    </row>
    <row r="30" spans="1:11" ht="19.05" customHeight="1">
      <c r="A30" s="25">
        <v>3</v>
      </c>
      <c r="B30" s="19" t="inlineStr">
        <is>
          <t xml:space="preserve"/>
        </is>
      </c>
      <c r="C30" s="26" t="inlineStr">
        <is>
          <t xml:space="preserve"/>
        </is>
      </c>
      <c r="D30" s="27" t="inlineStr">
        <is>
          <t xml:space="preserve"/>
        </is>
      </c>
      <c r="E30" s="27" t="inlineStr">
        <is>
          <t xml:space="preserve"/>
        </is>
      </c>
      <c r="F30" s="28">
        <f>'5. 산출내역서'!E10</f>
        <v>0</v>
      </c>
      <c r="G30" s="28"/>
      <c r="H30" s="28">
        <f>'5. 산출내역서'!E73</f>
        <v>3216000</v>
      </c>
      <c r="I30" s="29">
        <f>F30*H30</f>
        <v>0</v>
      </c>
      <c r="J30" s="30" t="str">
        <f>IF(N(G30)&gt;0,I30-F30*G30,"")</f>
        <v/>
      </c>
      <c r="K30" s="27" t="str">
        <f>IF(N(G30)&gt;0,IF(H30&gt;=G30,"▲ ","▼ ")&amp;TEXT(ABS(H30/G30-1)*100,"0.0")&amp;"%","")</f>
        <v/>
      </c>
    </row>
    <row r="31" spans="1:11" ht="22.1" customHeight="1">
      <c r="A31" s="541" t="s">
        <v>58</v>
      </c>
      <c r="B31" s="541"/>
      <c r="C31" s="541"/>
      <c r="D31" s="541"/>
      <c r="E31" s="541"/>
      <c r="F31" s="31">
        <f>SUM(F28:F30)</f>
        <v>11</v>
      </c>
      <c r="G31" s="31">
        <f>SUMPRODUCT(F28:F30,G28:G30)</f>
        <v>0</v>
      </c>
      <c r="H31" s="32"/>
      <c r="I31" s="31">
        <f>SUM(I28:I30)</f>
        <v>34603000</v>
      </c>
      <c r="J31" s="33" t="str">
        <f>IF(N(G31)=0,"",I31-G31)</f>
        <v/>
      </c>
      <c r="K31" s="34" t="str">
        <f>IFERROR(SUMPRODUCT((G28:G30&gt;0)*F28:F30*H28:H30)/G31-1,"")</f>
        <v/>
      </c>
    </row>
    <row r="32" spans="1:11" ht="18" customHeight="1">
      <c r="A32" s="542" t="s">
        <v>67</v>
      </c>
      <c r="B32" s="542"/>
      <c r="C32" s="542"/>
      <c r="D32" s="542"/>
      <c r="E32" s="542"/>
      <c r="F32" s="36"/>
      <c r="G32" s="37"/>
      <c r="H32" s="38"/>
      <c r="I32" s="36">
        <f>ROUND(I31*0.1,0)</f>
        <v>3460300</v>
      </c>
      <c r="J32" s="37"/>
      <c r="K32" s="35"/>
    </row>
    <row r="33" spans="1:11" ht="22.1" customHeight="1">
      <c r="A33" s="543" t="s">
        <v>68</v>
      </c>
      <c r="B33" s="543"/>
      <c r="C33" s="543"/>
      <c r="D33" s="543"/>
      <c r="E33" s="543"/>
      <c r="F33" s="40"/>
      <c r="G33" s="41"/>
      <c r="H33" s="42"/>
      <c r="I33" s="40">
        <f>I31+I32</f>
        <v>38063300</v>
      </c>
      <c r="J33" s="41"/>
      <c r="K33" s="39"/>
    </row>
    <row r="34" spans="1:11" ht="22.1" customHeight="1">
      <c r="A34" s="544" t="s">
        <v>69</v>
      </c>
      <c r="B34" s="544"/>
      <c r="C34" s="544"/>
      <c r="D34" s="544"/>
      <c r="E34" s="544"/>
      <c r="F34" s="44"/>
      <c r="G34" s="45"/>
      <c r="H34" s="46"/>
      <c r="I34" s="44">
        <f>I31*12</f>
        <v>415236000</v>
      </c>
      <c r="J34" s="45"/>
      <c r="K34" s="43"/>
    </row>
    <row r="36" spans="1:11">
      <c r="A36" s="8" t="s">
        <v>70</v>
      </c>
    </row>
    <row r="37" spans="1:11" ht="16" customHeight="1">
      <c r="A37" s="545" t="inlineStr">
        <is>
          <t xml:space="preserve">○ 견적 기준 : 2027년 최저임금(10,700원) 및 통상시급 적용</t>
        </is>
      </c>
      <c r="B37" s="545"/>
      <c r="C37" s="545"/>
      <c r="D37" s="545"/>
      <c r="E37" s="545"/>
      <c r="F37" s="545"/>
      <c r="G37" s="545"/>
      <c r="H37" s="545"/>
      <c r="I37" s="545"/>
      <c r="J37" s="545"/>
      <c r="K37" s="545"/>
    </row>
    <row r="38" spans="1:11" ht="16" customHeight="1">
      <c r="A38" s="545" t="s">
        <v>72</v>
      </c>
      <c r="B38" s="545"/>
      <c r="C38" s="545"/>
      <c r="D38" s="545"/>
      <c r="E38" s="545"/>
      <c r="F38" s="545"/>
      <c r="G38" s="545"/>
      <c r="H38" s="545"/>
      <c r="I38" s="545"/>
      <c r="J38" s="545"/>
      <c r="K38" s="545"/>
    </row>
    <row r="39" spans="1:11" ht="16" customHeight="1">
      <c r="A39" s="545" t="s">
        <v>73</v>
      </c>
      <c r="B39" s="545"/>
      <c r="C39" s="545"/>
      <c r="D39" s="545"/>
      <c r="E39" s="545"/>
      <c r="F39" s="545"/>
      <c r="G39" s="545"/>
      <c r="H39" s="545"/>
      <c r="I39" s="545"/>
      <c r="J39" s="545"/>
      <c r="K39" s="545"/>
    </row>
    <row r="40" spans="1:11" ht="16" customHeight="1">
      <c r="A40" s="545" t="s">
        <v>74</v>
      </c>
      <c r="B40" s="545"/>
      <c r="C40" s="545"/>
      <c r="D40" s="545"/>
      <c r="E40" s="545"/>
      <c r="F40" s="545"/>
      <c r="G40" s="545"/>
      <c r="H40" s="545"/>
      <c r="I40" s="545"/>
      <c r="J40" s="545"/>
      <c r="K40" s="545"/>
    </row>
    <row r="41" spans="1:11" ht="16" customHeight="1">
      <c r="A41" s="545" t="s">
        <v>75</v>
      </c>
      <c r="B41" s="545"/>
      <c r="C41" s="545"/>
      <c r="D41" s="545"/>
      <c r="E41" s="545"/>
      <c r="F41" s="545"/>
      <c r="G41" s="545"/>
      <c r="H41" s="545"/>
      <c r="I41" s="545"/>
      <c r="J41" s="545"/>
      <c r="K41" s="545"/>
    </row>
    <row r="42" spans="1:11" ht="16" customHeight="1">
      <c r="A42" s="545" t="s">
        <v>76</v>
      </c>
      <c r="B42" s="545"/>
      <c r="C42" s="545"/>
      <c r="D42" s="545"/>
      <c r="E42" s="545"/>
      <c r="F42" s="545"/>
      <c r="G42" s="545"/>
      <c r="H42" s="545"/>
      <c r="I42" s="545"/>
      <c r="J42" s="545"/>
      <c r="K42" s="545"/>
    </row>
    <row r="43" spans="1:11" ht="16" customHeight="1">
      <c r="A43" s="545" t="s">
        <v>77</v>
      </c>
      <c r="B43" s="545"/>
      <c r="C43" s="545"/>
      <c r="D43" s="545"/>
      <c r="E43" s="545"/>
      <c r="F43" s="545"/>
      <c r="G43" s="545"/>
      <c r="H43" s="545"/>
      <c r="I43" s="545"/>
      <c r="J43" s="545"/>
      <c r="K43" s="545"/>
    </row>
    <row r="45" spans="1:1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spans="1:11" ht="49.95" customHeight="1">
      <c r="C46" s="546" t="s">
        <v>78</v>
      </c>
      <c r="D46" s="546"/>
      <c r="E46" s="546"/>
      <c r="F46" s="546"/>
      <c r="G46" s="546"/>
      <c r="J46" s="522" t="inlineStr">
        <is>
          <t xml:space="preserve">견적 담당
에스텍베스트</t>
        </is>
      </c>
      <c r="K46" s="522"/>
    </row>
    <row r="47" spans="1:11" ht="13.95" customHeight="1"/>
  </sheetData>
  <mergeCells count="41">
    <mergeCell ref="A40:K40"/>
    <mergeCell ref="A41:K41"/>
    <mergeCell ref="A42:K42"/>
    <mergeCell ref="A43:K43"/>
    <mergeCell ref="C46:G46"/>
    <mergeCell ref="J46:K46"/>
    <mergeCell ref="A33:E33"/>
    <mergeCell ref="A34:E34"/>
    <mergeCell ref="A37:K37"/>
    <mergeCell ref="A38:K38"/>
    <mergeCell ref="A39:K39"/>
    <mergeCell ref="A22:C22"/>
    <mergeCell ref="A23:C23"/>
    <mergeCell ref="A24:C24"/>
    <mergeCell ref="A31:E31"/>
    <mergeCell ref="A32:E32"/>
    <mergeCell ref="A12:E12"/>
    <mergeCell ref="G12:K12"/>
    <mergeCell ref="A14:F14"/>
    <mergeCell ref="G14:K14"/>
    <mergeCell ref="A15:C15"/>
    <mergeCell ref="D15:F15"/>
    <mergeCell ref="G15:K15"/>
    <mergeCell ref="A10:B10"/>
    <mergeCell ref="C10:E10"/>
    <mergeCell ref="I10:K10"/>
    <mergeCell ref="A11:B11"/>
    <mergeCell ref="C11:E11"/>
    <mergeCell ref="G11:K11"/>
    <mergeCell ref="A8:B8"/>
    <mergeCell ref="C8:E8"/>
    <mergeCell ref="I8:K8"/>
    <mergeCell ref="A9:B9"/>
    <mergeCell ref="C9:E9"/>
    <mergeCell ref="G9:K9"/>
    <mergeCell ref="D1:I2"/>
    <mergeCell ref="J1:K1"/>
    <mergeCell ref="J2:K2"/>
    <mergeCell ref="D3:I3"/>
    <mergeCell ref="A7:E7"/>
    <mergeCell ref="G7:K7"/>
  </mergeCells>
  <phoneticPr fontId="70" type="noConversion"/>
  <printOptions horizontalCentered="1"/>
  <pageMargins left="0.4" right="0.4" top="0.5" bottom="0.5" header="0.2" footer="0.2"/>
  <pageSetup paperSize="9" fitToHeight="0" orientation="portrait" horizontalDpi="4294967295" verticalDpi="4294967295"/>
  <headerFooter>
    <oddFooter>&amp;L&amp;8㈜에스텍베스트 견적서&amp;R&amp;8&amp;P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23"/>
  <sheetViews>
    <sheetView showGridLines="0"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.65"/>
  <cols>
    <col min="1" max="1" width="11" customWidth="1"/>
    <col min="2" max="2" width="3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spans="1:9" ht="22.1" customHeight="1">
      <c r="D1" s="547" t="inlineStr">
        <is>
          <t xml:space="preserve">2027년 공장 ○○사업장 산출내역서</t>
        </is>
      </c>
      <c r="E1" s="547"/>
      <c r="F1" s="547"/>
      <c r="G1" s="547"/>
      <c r="H1" s="525" t="inlineStr">
        <is>
          <t xml:space="preserve">No. 261029-0425</t>
        </is>
      </c>
      <c r="I1" s="525"/>
    </row>
    <row r="2" spans="1:9" ht="22.1" customHeight="1">
      <c r="D2" s="547"/>
      <c r="E2" s="547"/>
      <c r="F2" s="547"/>
      <c r="G2" s="547"/>
      <c r="H2" s="526" t="inlineStr">
        <is>
          <t xml:space="preserve">작성일 2026. 10. 29</t>
        </is>
      </c>
      <c r="I2" s="526"/>
    </row>
    <row r="3" spans="1:9" ht="13.95" customHeight="1">
      <c r="D3" s="527" t="inlineStr">
        <is>
          <t xml:space="preserve">보안용역 도급업무 · 용역기간 2027. 1. 1 ~ 2027. 12. 31 (12개월) · 단위: 원, VAT 별도 · 노란 칸 = 입력값(수정 시 자동 재계산) · 산출 기준은 인력별(열별)로 따로 적용</t>
        </is>
      </c>
      <c r="E3" s="527"/>
      <c r="F3" s="527"/>
      <c r="G3" s="527"/>
    </row>
    <row r="4" spans="1:9" ht="4.95" customHeight="1">
      <c r="A4" s="1"/>
      <c r="B4" s="1"/>
      <c r="C4" s="1"/>
      <c r="D4" s="1"/>
      <c r="E4" s="1"/>
      <c r="F4" s="1"/>
      <c r="G4" s="1"/>
      <c r="H4" s="1"/>
      <c r="I4" s="1"/>
    </row>
    <row r="5" spans="1:9" ht="2.5499999999999998" customHeight="1">
      <c r="A5" s="2"/>
      <c r="B5" s="2"/>
      <c r="C5" s="2"/>
      <c r="D5" s="2"/>
      <c r="E5" s="2"/>
      <c r="F5" s="2"/>
      <c r="G5" s="2"/>
      <c r="H5" s="2"/>
      <c r="I5" s="2"/>
    </row>
    <row r="7" spans="1:9" ht="18" customHeight="1">
      <c r="A7" s="548" t="s">
        <v>82</v>
      </c>
      <c r="B7" s="548"/>
      <c r="C7" s="49" t="inlineStr">
        <is>
          <t xml:space="preserve">보안</t>
        </is>
      </c>
      <c r="D7" s="49" t="inlineStr">
        <is>
          <t xml:space="preserve">보안</t>
        </is>
      </c>
      <c r="E7" s="49" t="inlineStr">
        <is>
          <t xml:space="preserve"/>
        </is>
      </c>
      <c r="F7" s="548" t="s">
        <v>83</v>
      </c>
      <c r="G7" s="548" t="s">
        <v>84</v>
      </c>
      <c r="H7" s="548" t="s">
        <v>85</v>
      </c>
      <c r="I7" s="548" t="s">
        <v>86</v>
      </c>
    </row>
    <row r="8" spans="1:9" ht="30.1" customHeight="1">
      <c r="A8" s="548"/>
      <c r="B8" s="548"/>
      <c r="C8" s="48" t="inlineStr">
        <is>
          <t xml:space="preserve">경비원</t>
        </is>
      </c>
      <c r="D8" s="48" t="inlineStr">
        <is>
          <t xml:space="preserve">단시간 경비원</t>
        </is>
      </c>
      <c r="E8" s="48" t="inlineStr">
        <is>
          <t xml:space="preserve"/>
        </is>
      </c>
      <c r="F8" s="548"/>
      <c r="G8" s="548"/>
      <c r="H8" s="548"/>
      <c r="I8" s="548"/>
    </row>
    <row r="9" spans="1:9" ht="18" customHeight="1">
      <c r="A9" s="548"/>
      <c r="B9" s="548"/>
      <c r="C9" s="48" t="inlineStr">
        <is>
          <t xml:space="preserve">주간 주5일 (8h/일)</t>
        </is>
      </c>
      <c r="D9" s="48" t="inlineStr">
        <is>
          <t xml:space="preserve">단시간 (주 29.5h)</t>
        </is>
      </c>
      <c r="E9" s="48" t="inlineStr">
        <is>
          <t xml:space="preserve"/>
        </is>
      </c>
      <c r="F9" s="548"/>
      <c r="G9" s="548"/>
      <c r="H9" s="548"/>
      <c r="I9" s="548"/>
    </row>
    <row r="10" spans="1:9" ht="16.5" customHeight="1">
      <c r="A10" s="50" t="s">
        <v>90</v>
      </c>
      <c r="B10" s="51" t="s">
        <v>91</v>
      </c>
      <c r="C10" s="52">
        <v>10</v>
      </c>
      <c r="D10" s="52">
        <v>1</v>
      </c>
      <c r="E10" s="52">
        <v>0</v>
      </c>
      <c r="F10" s="53">
        <f>SUM(C10:E10)</f>
        <v>11</v>
      </c>
      <c r="G10" s="54"/>
      <c r="H10" s="54"/>
      <c r="I10" s="55" t="s">
        <v>92</v>
      </c>
    </row>
    <row r="11" spans="1:9" ht="16.5" customHeight="1">
      <c r="A11" s="56" t="s">
        <v>93</v>
      </c>
      <c r="B11" s="57" t="s">
        <v>94</v>
      </c>
      <c r="C11" s="58">
        <v>10700</v>
      </c>
      <c r="D11" s="58">
        <v>10700</v>
      </c>
      <c r="E11" s="58">
        <v>10700</v>
      </c>
      <c r="F11" s="59"/>
      <c r="G11" s="59"/>
      <c r="H11" s="59"/>
      <c r="I11" s="60" t="s">
        <v>92</v>
      </c>
    </row>
    <row r="12" spans="1:9" ht="16.5" customHeight="1">
      <c r="A12" s="56" t="s">
        <v>93</v>
      </c>
      <c r="B12" s="57" t="s">
        <v>95</v>
      </c>
      <c r="C12" s="58">
        <v>209</v>
      </c>
      <c r="D12" s="58">
        <v>154</v>
      </c>
      <c r="E12" s="58">
        <v>209</v>
      </c>
      <c r="F12" s="59"/>
      <c r="G12" s="59"/>
      <c r="H12" s="59"/>
      <c r="I12" s="60" t="s">
        <v>92</v>
      </c>
    </row>
    <row r="13" spans="1:9" ht="16.5" customHeight="1">
      <c r="A13" s="56" t="s">
        <v>93</v>
      </c>
      <c r="B13" s="57" t="s">
        <v>96</v>
      </c>
      <c r="C13" s="58">
        <v>0</v>
      </c>
      <c r="D13" s="58">
        <v>0</v>
      </c>
      <c r="E13" s="58">
        <v>0</v>
      </c>
      <c r="F13" s="59"/>
      <c r="G13" s="59"/>
      <c r="H13" s="59"/>
      <c r="I13" s="60" t="s">
        <v>92</v>
      </c>
    </row>
    <row r="14" spans="1:9" ht="16.5" customHeight="1">
      <c r="A14" s="56" t="s">
        <v>93</v>
      </c>
      <c r="B14" s="57" t="s">
        <v>97</v>
      </c>
      <c r="C14" s="61">
        <v>0</v>
      </c>
      <c r="D14" s="61">
        <v>0</v>
      </c>
      <c r="E14" s="61">
        <v>0</v>
      </c>
      <c r="F14" s="59"/>
      <c r="G14" s="59"/>
      <c r="H14" s="59"/>
      <c r="I14" s="60" t="s">
        <v>92</v>
      </c>
    </row>
    <row r="15" spans="1:9" ht="16.5" customHeight="1">
      <c r="A15" s="56" t="s">
        <v>93</v>
      </c>
      <c r="B15" s="57" t="s">
        <v>98</v>
      </c>
      <c r="C15" s="58">
        <v>0</v>
      </c>
      <c r="D15" s="58">
        <v>0</v>
      </c>
      <c r="E15" s="58">
        <v>0</v>
      </c>
      <c r="F15" s="59"/>
      <c r="G15" s="59"/>
      <c r="H15" s="59"/>
      <c r="I15" s="60" t="s">
        <v>92</v>
      </c>
    </row>
    <row r="16" spans="1:9" ht="16.5" customHeight="1">
      <c r="A16" s="56" t="s">
        <v>93</v>
      </c>
      <c r="B16" s="57" t="s">
        <v>99</v>
      </c>
      <c r="C16" s="58">
        <v>0</v>
      </c>
      <c r="D16" s="58">
        <v>0</v>
      </c>
      <c r="E16" s="58">
        <v>0</v>
      </c>
      <c r="F16" s="59"/>
      <c r="G16" s="59"/>
      <c r="H16" s="59"/>
      <c r="I16" s="60" t="s">
        <v>92</v>
      </c>
    </row>
    <row r="17" spans="1:9" ht="16.5" customHeight="1">
      <c r="A17" s="56" t="s">
        <v>93</v>
      </c>
      <c r="B17" s="57" t="s">
        <v>100</v>
      </c>
      <c r="C17" s="58">
        <v>16</v>
      </c>
      <c r="D17" s="58">
        <v>16</v>
      </c>
      <c r="E17" s="58">
        <v>16</v>
      </c>
      <c r="F17" s="59"/>
      <c r="G17" s="59"/>
      <c r="H17" s="59"/>
      <c r="I17" s="60" t="s">
        <v>92</v>
      </c>
    </row>
    <row r="18" spans="1:9" ht="16.5" customHeight="1">
      <c r="A18" s="56" t="s">
        <v>93</v>
      </c>
      <c r="B18" s="57" t="s">
        <v>101</v>
      </c>
      <c r="C18" s="62">
        <v>0</v>
      </c>
      <c r="D18" s="62">
        <v>0</v>
      </c>
      <c r="E18" s="62">
        <v>0</v>
      </c>
      <c r="F18" s="59"/>
      <c r="G18" s="59"/>
      <c r="H18" s="59"/>
      <c r="I18" s="60" t="s">
        <v>92</v>
      </c>
    </row>
    <row r="19" spans="1:9" ht="16.5" customHeight="1">
      <c r="A19" s="56" t="s">
        <v>93</v>
      </c>
      <c r="B19" s="57" t="s">
        <v>102</v>
      </c>
      <c r="C19" s="61">
        <v>0</v>
      </c>
      <c r="D19" s="61">
        <v>0</v>
      </c>
      <c r="E19" s="61">
        <v>0</v>
      </c>
      <c r="F19" s="59"/>
      <c r="G19" s="59"/>
      <c r="H19" s="59"/>
      <c r="I19" s="60" t="s">
        <v>92</v>
      </c>
    </row>
    <row r="20" spans="1:9" ht="16.5" customHeight="1">
      <c r="A20" s="56" t="s">
        <v>93</v>
      </c>
      <c r="B20" s="57" t="s">
        <v>103</v>
      </c>
      <c r="C20" s="58">
        <v>0</v>
      </c>
      <c r="D20" s="58">
        <v>0</v>
      </c>
      <c r="E20" s="58">
        <v>0</v>
      </c>
      <c r="F20" s="59"/>
      <c r="G20" s="59"/>
      <c r="H20" s="59"/>
      <c r="I20" s="60" t="s">
        <v>92</v>
      </c>
    </row>
    <row r="21" spans="1:9" ht="16.5" customHeight="1">
      <c r="A21" s="56" t="s">
        <v>93</v>
      </c>
      <c r="B21" s="57" t="s">
        <v>104</v>
      </c>
      <c r="C21" s="58">
        <v>8</v>
      </c>
      <c r="D21" s="58">
        <v>8</v>
      </c>
      <c r="E21" s="58">
        <v>8</v>
      </c>
      <c r="F21" s="59"/>
      <c r="G21" s="59"/>
      <c r="H21" s="59"/>
      <c r="I21" s="60" t="s">
        <v>92</v>
      </c>
    </row>
    <row r="22" spans="1:9" ht="16.5" customHeight="1">
      <c r="A22" s="56" t="s">
        <v>93</v>
      </c>
      <c r="B22" s="57" t="s">
        <v>105</v>
      </c>
      <c r="C22" s="61">
        <v>1</v>
      </c>
      <c r="D22" s="61">
        <v>1</v>
      </c>
      <c r="E22" s="61">
        <v>1</v>
      </c>
      <c r="F22" s="59"/>
      <c r="G22" s="59"/>
      <c r="H22" s="59"/>
      <c r="I22" s="60" t="s">
        <v>92</v>
      </c>
    </row>
    <row r="23" spans="1:9" ht="16.5" customHeight="1">
      <c r="A23" s="56" t="s">
        <v>93</v>
      </c>
      <c r="B23" s="57" t="s">
        <v>106</v>
      </c>
      <c r="C23" s="62">
        <v>1</v>
      </c>
      <c r="D23" s="62">
        <v>1</v>
      </c>
      <c r="E23" s="62">
        <v>1</v>
      </c>
      <c r="F23" s="59"/>
      <c r="G23" s="59"/>
      <c r="H23" s="59"/>
      <c r="I23" s="60" t="s">
        <v>92</v>
      </c>
    </row>
    <row r="24" spans="1:9" ht="16.5" customHeight="1">
      <c r="A24" s="56" t="s">
        <v>93</v>
      </c>
      <c r="B24" s="57" t="s">
        <v>107</v>
      </c>
      <c r="C24" s="61">
        <v>0</v>
      </c>
      <c r="D24" s="61">
        <v>0</v>
      </c>
      <c r="E24" s="61">
        <v>0</v>
      </c>
      <c r="F24" s="59"/>
      <c r="G24" s="59"/>
      <c r="H24" s="59"/>
      <c r="I24" s="60" t="s">
        <v>92</v>
      </c>
    </row>
    <row r="25" spans="1:9" ht="16.5" customHeight="1">
      <c r="A25" s="56" t="s">
        <v>93</v>
      </c>
      <c r="B25" s="57" t="s">
        <v>108</v>
      </c>
      <c r="C25" s="61">
        <v>1</v>
      </c>
      <c r="D25" s="61">
        <v>1</v>
      </c>
      <c r="E25" s="61">
        <v>1</v>
      </c>
      <c r="F25" s="59"/>
      <c r="G25" s="59"/>
      <c r="H25" s="59"/>
      <c r="I25" s="60" t="s">
        <v>92</v>
      </c>
    </row>
    <row r="26" spans="1:9" ht="16.5" customHeight="1">
      <c r="A26" s="56" t="s">
        <v>93</v>
      </c>
      <c r="B26" s="57" t="s">
        <v>109</v>
      </c>
      <c r="C26" s="61">
        <v>0</v>
      </c>
      <c r="D26" s="61">
        <v>0</v>
      </c>
      <c r="E26" s="61">
        <v>0</v>
      </c>
      <c r="F26" s="59"/>
      <c r="G26" s="59"/>
      <c r="H26" s="59"/>
      <c r="I26" s="60" t="s">
        <v>92</v>
      </c>
    </row>
    <row r="27" spans="1:9" ht="16.5" customHeight="1">
      <c r="A27" s="56" t="s">
        <v>93</v>
      </c>
      <c r="B27" s="57" t="s">
        <v>110</v>
      </c>
      <c r="C27" s="61">
        <v>12</v>
      </c>
      <c r="D27" s="61">
        <v>12</v>
      </c>
      <c r="E27" s="61">
        <v>12</v>
      </c>
      <c r="F27" s="59"/>
      <c r="G27" s="59"/>
      <c r="H27" s="59"/>
      <c r="I27" s="60" t="s">
        <v>92</v>
      </c>
    </row>
    <row r="28" spans="1:9" ht="16.5" customHeight="1">
      <c r="A28" s="56" t="s">
        <v>93</v>
      </c>
      <c r="B28" s="63" t="s">
        <v>111</v>
      </c>
      <c r="C28" s="64">
        <f>C13*IF(C14=1,C$87,C$86)</f>
        <v>0</v>
      </c>
      <c r="D28" s="64">
        <f>D13*IF(D14=1,D$87,D$86)</f>
        <v>0</v>
      </c>
      <c r="E28" s="64">
        <f>E13*IF(E14=1,E$87,E$86)</f>
        <v>0</v>
      </c>
      <c r="F28" s="65"/>
      <c r="G28" s="65"/>
      <c r="H28" s="65"/>
      <c r="I28" s="60" t="s">
        <v>112</v>
      </c>
    </row>
    <row r="29" spans="1:9" ht="16.5" customHeight="1">
      <c r="A29" s="56" t="s">
        <v>93</v>
      </c>
      <c r="B29" s="63" t="s">
        <v>113</v>
      </c>
      <c r="C29" s="64">
        <f>C15*C$88</f>
        <v>0</v>
      </c>
      <c r="D29" s="64">
        <f>D15*D$88</f>
        <v>0</v>
      </c>
      <c r="E29" s="64">
        <f>E15*E$88</f>
        <v>0</v>
      </c>
      <c r="F29" s="65"/>
      <c r="G29" s="65"/>
      <c r="H29" s="65"/>
      <c r="I29" s="60" t="s">
        <v>114</v>
      </c>
    </row>
    <row r="30" spans="1:9" ht="16.5" customHeight="1">
      <c r="A30" s="56" t="s">
        <v>93</v>
      </c>
      <c r="B30" s="63" t="s">
        <v>115</v>
      </c>
      <c r="C30" s="64">
        <f>C16*8*0.5/12</f>
        <v>0</v>
      </c>
      <c r="D30" s="64">
        <f>D16*8*0.5/12</f>
        <v>0</v>
      </c>
      <c r="E30" s="64">
        <f>E16*8*0.5/12</f>
        <v>0</v>
      </c>
      <c r="F30" s="65"/>
      <c r="G30" s="65"/>
      <c r="H30" s="65"/>
      <c r="I30" s="60" t="s">
        <v>116</v>
      </c>
    </row>
    <row r="31" spans="1:9" ht="16.5" customHeight="1">
      <c r="A31" s="66" t="s">
        <v>93</v>
      </c>
      <c r="B31" s="67" t="s">
        <v>117</v>
      </c>
      <c r="C31" s="68">
        <f>IF(C12=0,0,(C32+C39+C38+C36)/C12)</f>
        <v>10700</v>
      </c>
      <c r="D31" s="68">
        <f>IF(D12=0,0,(D32+D39+D38+D36)/D12)</f>
        <v>10700</v>
      </c>
      <c r="E31" s="68">
        <f>IF(E12=0,0,(E32+E39+E38+E36)/E12)</f>
        <v>10700</v>
      </c>
      <c r="F31" s="69"/>
      <c r="G31" s="69"/>
      <c r="H31" s="69"/>
      <c r="I31" s="70" t="s">
        <v>118</v>
      </c>
    </row>
    <row r="32" spans="1:9" ht="16.5" customHeight="1">
      <c r="A32" s="71" t="s">
        <v>119</v>
      </c>
      <c r="B32" s="72" t="s">
        <v>120</v>
      </c>
      <c r="C32" s="73">
        <f>ROUNDUP(C12*C11,-1)</f>
        <v>2236300</v>
      </c>
      <c r="D32" s="73">
        <f>ROUNDUP(D12*D11,-1)</f>
        <v>1647800</v>
      </c>
      <c r="E32" s="73">
        <f>ROUNDUP(E12*E11,-1)</f>
        <v>2236300</v>
      </c>
      <c r="F32" s="73">
        <f>SUMPRODUCT(C32:E32,C10:E10)</f>
        <v>24010800</v>
      </c>
      <c r="G32" s="73">
        <f t="shared" ref="G32:G73" si="0">IF($C$118=0,0,F32/$C$118)</f>
        <v>2182800</v>
      </c>
      <c r="H32" s="73">
        <f>SUMPRODUCT(C32:E32,C10:E10,C27:E27)</f>
        <v>288129600</v>
      </c>
      <c r="I32" s="74" t="s">
        <v>121</v>
      </c>
    </row>
    <row r="33" spans="1:9" ht="16.5" customHeight="1">
      <c r="A33" s="75" t="s">
        <v>93</v>
      </c>
      <c r="B33" s="76" t="s">
        <v>122</v>
      </c>
      <c r="C33" s="77">
        <f>IF(C28=0,0,ROUNDUP(C28*C31,-1))</f>
        <v>0</v>
      </c>
      <c r="D33" s="77">
        <f>IF(D28=0,0,ROUNDUP(D28*D31,-1))</f>
        <v>0</v>
      </c>
      <c r="E33" s="77">
        <f>IF(E28=0,0,ROUNDUP(E28*E31,-1))</f>
        <v>0</v>
      </c>
      <c r="F33" s="77">
        <f>SUMPRODUCT(C33:E33,C10:E10)</f>
        <v>0</v>
      </c>
      <c r="G33" s="77">
        <f t="shared" si="0"/>
        <v>0</v>
      </c>
      <c r="H33" s="77">
        <f>SUMPRODUCT(C33:E33,C10:E10,C27:E27)</f>
        <v>0</v>
      </c>
      <c r="I33" s="78" t="s">
        <v>123</v>
      </c>
    </row>
    <row r="34" spans="1:9" ht="16.5" customHeight="1">
      <c r="A34" s="75" t="s">
        <v>93</v>
      </c>
      <c r="B34" s="76" t="s">
        <v>124</v>
      </c>
      <c r="C34" s="77">
        <f>IF(C29=0,0,ROUNDUP(C29*C31,-1))</f>
        <v>0</v>
      </c>
      <c r="D34" s="77">
        <f>IF(D29=0,0,ROUNDUP(D29*D31,-1))</f>
        <v>0</v>
      </c>
      <c r="E34" s="77">
        <f>IF(E29=0,0,ROUNDUP(E29*E31,-1))</f>
        <v>0</v>
      </c>
      <c r="F34" s="77">
        <f>SUMPRODUCT(C34:E34,C10:E10)</f>
        <v>0</v>
      </c>
      <c r="G34" s="77">
        <f t="shared" si="0"/>
        <v>0</v>
      </c>
      <c r="H34" s="77">
        <f>SUMPRODUCT(C34:E34,C10:E10,C27:E27)</f>
        <v>0</v>
      </c>
      <c r="I34" s="78" t="s">
        <v>125</v>
      </c>
    </row>
    <row r="35" spans="1:9" ht="16.5" customHeight="1">
      <c r="A35" s="75" t="s">
        <v>93</v>
      </c>
      <c r="B35" s="76" t="s">
        <v>126</v>
      </c>
      <c r="C35" s="77">
        <f>IF(C30=0,0,ROUNDUP(C30*C31,-1))</f>
        <v>0</v>
      </c>
      <c r="D35" s="77">
        <f>IF(D30=0,0,ROUNDUP(D30*D31,-1))</f>
        <v>0</v>
      </c>
      <c r="E35" s="77">
        <f>IF(E30=0,0,ROUNDUP(E30*E31,-1))</f>
        <v>0</v>
      </c>
      <c r="F35" s="77">
        <f>SUMPRODUCT(C35:E35,C10:E10)</f>
        <v>0</v>
      </c>
      <c r="G35" s="77">
        <f t="shared" si="0"/>
        <v>0</v>
      </c>
      <c r="H35" s="77">
        <f>SUMPRODUCT(C35:E35,C10:E10,C27:E27)</f>
        <v>0</v>
      </c>
      <c r="I35" s="78" t="s">
        <v>127</v>
      </c>
    </row>
    <row r="36" spans="1:9" ht="16.5" customHeight="1">
      <c r="A36" s="75" t="s">
        <v>93</v>
      </c>
      <c r="B36" s="76" t="s">
        <v>128</v>
      </c>
      <c r="C36" s="58">
        <v>0</v>
      </c>
      <c r="D36" s="58">
        <v>0</v>
      </c>
      <c r="E36" s="58">
        <v>0</v>
      </c>
      <c r="F36" s="77">
        <f>SUMPRODUCT(C36:E36,C10:E10)</f>
        <v>0</v>
      </c>
      <c r="G36" s="77">
        <f t="shared" si="0"/>
        <v>0</v>
      </c>
      <c r="H36" s="77">
        <f>SUMPRODUCT(C36:E36,C10:E10,C27:E27)</f>
        <v>0</v>
      </c>
      <c r="I36" s="78" t="s">
        <v>93</v>
      </c>
    </row>
    <row r="37" spans="1:9" ht="16.5" customHeight="1">
      <c r="A37" s="75" t="s">
        <v>93</v>
      </c>
      <c r="B37" s="76" t="s">
        <v>129</v>
      </c>
      <c r="C37" s="58">
        <v>0</v>
      </c>
      <c r="D37" s="58">
        <v>0</v>
      </c>
      <c r="E37" s="58">
        <v>0</v>
      </c>
      <c r="F37" s="77">
        <f>SUMPRODUCT(C37:E37,C10:E10)</f>
        <v>0</v>
      </c>
      <c r="G37" s="77">
        <f t="shared" si="0"/>
        <v>0</v>
      </c>
      <c r="H37" s="77">
        <f>SUMPRODUCT(C37:E37,C10:E10,C27:E27)</f>
        <v>0</v>
      </c>
      <c r="I37" s="78" t="s">
        <v>130</v>
      </c>
    </row>
    <row r="38" spans="1:9" ht="16.5" customHeight="1">
      <c r="A38" s="75" t="s">
        <v>93</v>
      </c>
      <c r="B38" s="76" t="s">
        <v>131</v>
      </c>
      <c r="C38" s="58">
        <v>0</v>
      </c>
      <c r="D38" s="58">
        <v>0</v>
      </c>
      <c r="E38" s="58">
        <v>0</v>
      </c>
      <c r="F38" s="77">
        <f>SUMPRODUCT(C38:E38,C10:E10)</f>
        <v>0</v>
      </c>
      <c r="G38" s="77">
        <f t="shared" si="0"/>
        <v>0</v>
      </c>
      <c r="H38" s="77">
        <f>SUMPRODUCT(C38:E38,C10:E10,C27:E27)</f>
        <v>0</v>
      </c>
      <c r="I38" s="78" t="s">
        <v>93</v>
      </c>
    </row>
    <row r="39" spans="1:9" ht="16.5" customHeight="1">
      <c r="A39" s="75" t="s">
        <v>93</v>
      </c>
      <c r="B39" s="76" t="s">
        <v>132</v>
      </c>
      <c r="C39" s="58">
        <v>0</v>
      </c>
      <c r="D39" s="58">
        <v>0</v>
      </c>
      <c r="E39" s="58">
        <v>0</v>
      </c>
      <c r="F39" s="77">
        <f>SUMPRODUCT(C39:E39,C10:E10)</f>
        <v>0</v>
      </c>
      <c r="G39" s="77">
        <f t="shared" si="0"/>
        <v>0</v>
      </c>
      <c r="H39" s="77">
        <f>SUMPRODUCT(C39:E39,C10:E10,C27:E27)</f>
        <v>0</v>
      </c>
      <c r="I39" s="78" t="s">
        <v>93</v>
      </c>
    </row>
    <row r="40" spans="1:9" ht="19.05" customHeight="1">
      <c r="A40" s="75" t="s">
        <v>93</v>
      </c>
      <c r="B40" s="79" t="s">
        <v>133</v>
      </c>
      <c r="C40" s="80">
        <f>SUM(C32:C39)</f>
        <v>2236300</v>
      </c>
      <c r="D40" s="80">
        <f>SUM(D32:D39)</f>
        <v>1647800</v>
      </c>
      <c r="E40" s="80">
        <f>SUM(E32:E39)</f>
        <v>2236300</v>
      </c>
      <c r="F40" s="80">
        <f>SUMPRODUCT(C40:E40,C10:E10)</f>
        <v>24010800</v>
      </c>
      <c r="G40" s="80">
        <f t="shared" si="0"/>
        <v>2182800</v>
      </c>
      <c r="H40" s="80">
        <f>SUMPRODUCT(C40:E40,C10:E10,C27:E27)</f>
        <v>288129600</v>
      </c>
      <c r="I40" s="81" t="s">
        <v>134</v>
      </c>
    </row>
    <row r="41" spans="1:9" ht="16.5" customHeight="1">
      <c r="A41" s="75" t="s">
        <v>93</v>
      </c>
      <c r="B41" s="76" t="s">
        <v>135</v>
      </c>
      <c r="C41" s="77">
        <f>ROUNDUP(C31*C$89*C17/12,-1)</f>
        <v>114140</v>
      </c>
      <c r="D41" s="77">
        <f>ROUNDUP(D31*D$89*D17/12,-1)</f>
        <v>114140</v>
      </c>
      <c r="E41" s="77">
        <f>ROUNDUP(E31*E$89*E17/12,-1)</f>
        <v>114140</v>
      </c>
      <c r="F41" s="77">
        <f>SUMPRODUCT(C41:E41,C10:E10)</f>
        <v>1255540</v>
      </c>
      <c r="G41" s="77">
        <f t="shared" si="0"/>
        <v>114140</v>
      </c>
      <c r="H41" s="77">
        <f>SUMPRODUCT(C41:E41,C10:E10,C27:E27)</f>
        <v>15066480</v>
      </c>
      <c r="I41" s="78" t="s">
        <v>136</v>
      </c>
    </row>
    <row r="42" spans="1:9" ht="16.5" customHeight="1">
      <c r="A42" s="75" t="s">
        <v>93</v>
      </c>
      <c r="B42" s="76" t="s">
        <v>137</v>
      </c>
      <c r="C42" s="77">
        <f>ROUNDUP(C21/12*C31,-1)</f>
        <v>7140</v>
      </c>
      <c r="D42" s="77">
        <f>ROUNDUP(D21/12*D31,-1)</f>
        <v>7140</v>
      </c>
      <c r="E42" s="77">
        <f>ROUNDUP(E21/12*E31,-1)</f>
        <v>7140</v>
      </c>
      <c r="F42" s="77">
        <f>SUMPRODUCT(C42:E42,C10:E10)</f>
        <v>78540</v>
      </c>
      <c r="G42" s="77">
        <f t="shared" si="0"/>
        <v>7140</v>
      </c>
      <c r="H42" s="77">
        <f>SUMPRODUCT(C42:E42,C10:E10,C27:E27)</f>
        <v>942480</v>
      </c>
      <c r="I42" s="78" t="s">
        <v>138</v>
      </c>
    </row>
    <row r="43" spans="1:9" ht="16.5" customHeight="1">
      <c r="A43" s="75" t="s">
        <v>93</v>
      </c>
      <c r="B43" s="76" t="s">
        <v>139</v>
      </c>
      <c r="C43" s="77">
        <f>IF(C20&gt;0,C20,IF(C18=0,0,ROUNDUP(IF(C19=1,C32+C39+C38+C36,C32)*C18/12,-1)))</f>
        <v>0</v>
      </c>
      <c r="D43" s="77">
        <f>IF(D20&gt;0,D20,IF(D18=0,0,ROUNDUP(IF(D19=1,D32+D39+D38+D36,D32)*D18/12,-1)))</f>
        <v>0</v>
      </c>
      <c r="E43" s="77">
        <f>IF(E20&gt;0,E20,IF(E18=0,0,ROUNDUP(IF(E19=1,E32+E39+E38+E36,E32)*E18/12,-1)))</f>
        <v>0</v>
      </c>
      <c r="F43" s="77">
        <f>SUMPRODUCT(C43:E43,C10:E10)</f>
        <v>0</v>
      </c>
      <c r="G43" s="77">
        <f t="shared" si="0"/>
        <v>0</v>
      </c>
      <c r="H43" s="77">
        <f>SUMPRODUCT(C43:E43,C10:E10,C27:E27)</f>
        <v>0</v>
      </c>
      <c r="I43" s="78" t="s">
        <v>140</v>
      </c>
    </row>
    <row r="44" spans="1:9" ht="16.5" customHeight="1">
      <c r="A44" s="75" t="s">
        <v>93</v>
      </c>
      <c r="B44" s="76" t="s">
        <v>141</v>
      </c>
      <c r="C44" s="77">
        <f>IF(C22=1,ROUNDUP((C40+C41+C42+C43)/12,-1),0)</f>
        <v>196470</v>
      </c>
      <c r="D44" s="77">
        <f>IF(D22=1,ROUNDUP((D40+D41+D42+D43)/12,-1),0)</f>
        <v>147430</v>
      </c>
      <c r="E44" s="77">
        <f>IF(E22=1,ROUNDUP((E40+E41+E42+E43)/12,-1),0)</f>
        <v>196470</v>
      </c>
      <c r="F44" s="77">
        <f>SUMPRODUCT(C44:E44,C10:E10)</f>
        <v>2112130</v>
      </c>
      <c r="G44" s="77">
        <f t="shared" si="0"/>
        <v>192011.81818181818</v>
      </c>
      <c r="H44" s="77">
        <f>SUMPRODUCT(C44:E44,C10:E10,C27:E27)</f>
        <v>25345560</v>
      </c>
      <c r="I44" s="78" t="s">
        <v>142</v>
      </c>
    </row>
    <row r="45" spans="1:9" ht="19.05" customHeight="1">
      <c r="A45" s="75" t="s">
        <v>93</v>
      </c>
      <c r="B45" s="79" t="s">
        <v>143</v>
      </c>
      <c r="C45" s="80">
        <f>C40+C41+C42+C43+C44</f>
        <v>2554050</v>
      </c>
      <c r="D45" s="80">
        <f>D40+D41+D42+D43+D44</f>
        <v>1916510</v>
      </c>
      <c r="E45" s="80">
        <f>E40+E41+E42+E43+E44</f>
        <v>2554050</v>
      </c>
      <c r="F45" s="80">
        <f>SUMPRODUCT(C45:E45,C10:E10)</f>
        <v>27457010</v>
      </c>
      <c r="G45" s="80">
        <f t="shared" si="0"/>
        <v>2496091.8181818184</v>
      </c>
      <c r="H45" s="80">
        <f>SUMPRODUCT(C45:E45,C10:E10,C27:E27)</f>
        <v>329484120</v>
      </c>
      <c r="I45" s="81" t="s">
        <v>144</v>
      </c>
    </row>
    <row r="46" spans="1:9" ht="16.5" customHeight="1">
      <c r="A46" s="82" t="s">
        <v>145</v>
      </c>
      <c r="B46" s="83" t="s">
        <v>146</v>
      </c>
      <c r="C46" s="84">
        <f>ROUNDUP((C45-C44-CHOOSE(C24+1,C37,C39,C39+C37,0))*C$79,-1)</f>
        <v>84760</v>
      </c>
      <c r="D46" s="84">
        <f>ROUNDUP((D45-D44-CHOOSE(D24+1,D37,D39,D39+D37,0))*D$79,-1)</f>
        <v>63600</v>
      </c>
      <c r="E46" s="84">
        <f>ROUNDUP((E45-E44-CHOOSE(E24+1,E37,E39,E39+E37,0))*E$79,-1)</f>
        <v>84760</v>
      </c>
      <c r="F46" s="84">
        <f>SUMPRODUCT(C46:E46,C10:E10)</f>
        <v>911200</v>
      </c>
      <c r="G46" s="84">
        <f t="shared" si="0"/>
        <v>82836.36363636363</v>
      </c>
      <c r="H46" s="84">
        <f>SUMPRODUCT(C46:E46,C10:E10,C27:E27)</f>
        <v>10934400</v>
      </c>
      <c r="I46" s="85" t="s">
        <v>147</v>
      </c>
    </row>
    <row r="47" spans="1:9" ht="16.5" customHeight="1">
      <c r="A47" s="86" t="s">
        <v>93</v>
      </c>
      <c r="B47" s="87" t="s">
        <v>148</v>
      </c>
      <c r="C47" s="88">
        <f>ROUNDUP(C46*C$80,-1)</f>
        <v>11140</v>
      </c>
      <c r="D47" s="88">
        <f>ROUNDUP(D46*D$80,-1)</f>
        <v>8360</v>
      </c>
      <c r="E47" s="88">
        <f>ROUNDUP(E46*E$80,-1)</f>
        <v>11140</v>
      </c>
      <c r="F47" s="88">
        <f>SUMPRODUCT(C47:E47,C10:E10)</f>
        <v>119760</v>
      </c>
      <c r="G47" s="88">
        <f t="shared" si="0"/>
        <v>10887.272727272728</v>
      </c>
      <c r="H47" s="88">
        <f>SUMPRODUCT(C47:E47,C10:E10,C27:E27)</f>
        <v>1437120</v>
      </c>
      <c r="I47" s="89" t="s">
        <v>149</v>
      </c>
    </row>
    <row r="48" spans="1:9" ht="16.5" customHeight="1">
      <c r="A48" s="86" t="s">
        <v>93</v>
      </c>
      <c r="B48" s="87" t="s">
        <v>150</v>
      </c>
      <c r="C48" s="88">
        <f>ROUNDUP((C45-C44-CHOOSE(C24+1,C37,C39,C39+C37,0))*C$81*C23,-1)</f>
        <v>117880</v>
      </c>
      <c r="D48" s="88">
        <f>ROUNDUP((D45-D44-CHOOSE(D24+1,D37,D39,D39+D37,0))*D$81*D23,-1)</f>
        <v>88460</v>
      </c>
      <c r="E48" s="88">
        <f>ROUNDUP((E45-E44-CHOOSE(E24+1,E37,E39,E39+E37,0))*E$81*E23,-1)</f>
        <v>117880</v>
      </c>
      <c r="F48" s="88">
        <f>SUMPRODUCT(C48:E48,C10:E10)</f>
        <v>1267260</v>
      </c>
      <c r="G48" s="88">
        <f t="shared" si="0"/>
        <v>115205.45454545454</v>
      </c>
      <c r="H48" s="88">
        <f>SUMPRODUCT(C48:E48,C10:E10,C27:E27)</f>
        <v>15207120</v>
      </c>
      <c r="I48" s="89" t="s">
        <v>151</v>
      </c>
    </row>
    <row r="49" spans="1:9" ht="16.5" customHeight="1">
      <c r="A49" s="86" t="s">
        <v>93</v>
      </c>
      <c r="B49" s="87" t="s">
        <v>152</v>
      </c>
      <c r="C49" s="88">
        <f>ROUNDUP((C45-C44-CHOOSE(C24+1,C37,C39,C39+C37,0))*C$82,-1)</f>
        <v>43620</v>
      </c>
      <c r="D49" s="88">
        <f>ROUNDUP((D45-D44-CHOOSE(D24+1,D37,D39,D39+D37,0))*D$82,-1)</f>
        <v>32730</v>
      </c>
      <c r="E49" s="88">
        <f>ROUNDUP((E45-E44-CHOOSE(E24+1,E37,E39,E39+E37,0))*E$82,-1)</f>
        <v>43620</v>
      </c>
      <c r="F49" s="88">
        <f>SUMPRODUCT(C49:E49,C10:E10)</f>
        <v>468930</v>
      </c>
      <c r="G49" s="88">
        <f t="shared" si="0"/>
        <v>42630</v>
      </c>
      <c r="H49" s="88">
        <f>SUMPRODUCT(C49:E49,C10:E10,C27:E27)</f>
        <v>5627160</v>
      </c>
      <c r="I49" s="89" t="s">
        <v>153</v>
      </c>
    </row>
    <row r="50" spans="1:9" ht="16.5" customHeight="1">
      <c r="A50" s="86" t="s">
        <v>93</v>
      </c>
      <c r="B50" s="87" t="s">
        <v>154</v>
      </c>
      <c r="C50" s="88">
        <f>ROUNDUP((C45-C44-CHOOSE(C24+1,C37,C39,C39+C37,0))*C$83,-1)</f>
        <v>20280</v>
      </c>
      <c r="D50" s="88">
        <f>ROUNDUP((D45-D44-CHOOSE(D24+1,D37,D39,D39+D37,0))*D$83,-1)</f>
        <v>15220</v>
      </c>
      <c r="E50" s="88">
        <f>ROUNDUP((E45-E44-CHOOSE(E24+1,E37,E39,E39+E37,0))*E$83,-1)</f>
        <v>20280</v>
      </c>
      <c r="F50" s="88">
        <f>SUMPRODUCT(C50:E50,C10:E10)</f>
        <v>218020</v>
      </c>
      <c r="G50" s="88">
        <f t="shared" si="0"/>
        <v>19820</v>
      </c>
      <c r="H50" s="88">
        <f>SUMPRODUCT(C50:E50,C10:E10,C27:E27)</f>
        <v>2616240</v>
      </c>
      <c r="I50" s="89" t="s">
        <v>155</v>
      </c>
    </row>
    <row r="51" spans="1:9" ht="16.5" customHeight="1">
      <c r="A51" s="86" t="s">
        <v>93</v>
      </c>
      <c r="B51" s="87" t="s">
        <v>156</v>
      </c>
      <c r="C51" s="88">
        <f>IF(C$84=0,0,ROUNDUP((C45-C44-CHOOSE(C24+1,C37,C39,C39+C37,0))*C$84,-1))</f>
        <v>2130</v>
      </c>
      <c r="D51" s="88">
        <f>IF(D$84=0,0,ROUNDUP((D45-D44-CHOOSE(D24+1,D37,D39,D39+D37,0))*D$84,-1))</f>
        <v>1600</v>
      </c>
      <c r="E51" s="88">
        <f>IF(E$84=0,0,ROUNDUP((E45-E44-CHOOSE(E24+1,E37,E39,E39+E37,0))*E$84,-1))</f>
        <v>2130</v>
      </c>
      <c r="F51" s="88">
        <f>SUMPRODUCT(C51:E51,C10:E10)</f>
        <v>22900</v>
      </c>
      <c r="G51" s="88">
        <f t="shared" si="0"/>
        <v>2081.818181818182</v>
      </c>
      <c r="H51" s="88">
        <f>SUMPRODUCT(C51:E51,C10:E10,C27:E27)</f>
        <v>274800</v>
      </c>
      <c r="I51" s="89" t="s">
        <v>157</v>
      </c>
    </row>
    <row r="52" spans="1:9" ht="16.5" customHeight="1">
      <c r="A52" s="86" t="s">
        <v>93</v>
      </c>
      <c r="B52" s="87" t="s">
        <v>158</v>
      </c>
      <c r="C52" s="88">
        <f>IF(C$85=0,0,ROUNDUP((C45-C44-CHOOSE(C24+1,C37,C39,C39+C37,0))*C$85,-1))</f>
        <v>150</v>
      </c>
      <c r="D52" s="88">
        <f>IF(D$85=0,0,ROUNDUP((D45-D44-CHOOSE(D24+1,D37,D39,D39+D37,0))*D$85,-1))</f>
        <v>110</v>
      </c>
      <c r="E52" s="88">
        <f>IF(E$85=0,0,ROUNDUP((E45-E44-CHOOSE(E24+1,E37,E39,E39+E37,0))*E$85,-1))</f>
        <v>150</v>
      </c>
      <c r="F52" s="88">
        <f>SUMPRODUCT(C52:E52,C10:E10)</f>
        <v>1610</v>
      </c>
      <c r="G52" s="88">
        <f t="shared" si="0"/>
        <v>146.36363636363637</v>
      </c>
      <c r="H52" s="88">
        <f>SUMPRODUCT(C52:E52,C10:E10,C27:E27)</f>
        <v>19320</v>
      </c>
      <c r="I52" s="89" t="s">
        <v>159</v>
      </c>
    </row>
    <row r="53" spans="1:9" ht="16.5" customHeight="1">
      <c r="A53" s="86" t="s">
        <v>93</v>
      </c>
      <c r="B53" s="87" t="s">
        <v>160</v>
      </c>
      <c r="C53" s="88">
        <f>IF(C25=1,ROUNDUP(C$90/12,-1),0)</f>
        <v>7500</v>
      </c>
      <c r="D53" s="88">
        <f>IF(D25=1,ROUNDUP(D$90/12,-1),0)</f>
        <v>7500</v>
      </c>
      <c r="E53" s="88">
        <f>IF(E25=1,ROUNDUP(E$90/12,-1),0)</f>
        <v>7500</v>
      </c>
      <c r="F53" s="88">
        <f>SUMPRODUCT(C53:E53,C10:E10)</f>
        <v>82500</v>
      </c>
      <c r="G53" s="88">
        <f t="shared" si="0"/>
        <v>7500</v>
      </c>
      <c r="H53" s="88">
        <f>SUMPRODUCT(C53:E53,C10:E10,C27:E27)</f>
        <v>990000</v>
      </c>
      <c r="I53" s="89" t="s">
        <v>161</v>
      </c>
    </row>
    <row r="54" spans="1:9" ht="16.5" customHeight="1">
      <c r="A54" s="86" t="s">
        <v>93</v>
      </c>
      <c r="B54" s="87" t="s">
        <v>162</v>
      </c>
      <c r="C54" s="88">
        <f>IF(C$91=1,IF(C$95=1,ROUNDUP(C$92*C$93*C$94,-1),C$92*C$93*C$94),0)</f>
        <v>40117.968</v>
      </c>
      <c r="D54" s="88">
        <f>IF(D$91=1,IF(D$95=1,ROUNDUP(D$92*D$93*D$94,-1),D$92*D$93*D$94),0)</f>
        <v>40117.968</v>
      </c>
      <c r="E54" s="88">
        <f>IF(E$91=1,IF(E$95=1,ROUNDUP(E$92*E$93*E$94,-1),E$92*E$93*E$94),0)</f>
        <v>40117.968</v>
      </c>
      <c r="F54" s="88">
        <f>SUMPRODUCT(C54:E54,C10:E10)</f>
        <v>441297.648</v>
      </c>
      <c r="G54" s="88">
        <f t="shared" si="0"/>
        <v>40117.968</v>
      </c>
      <c r="H54" s="88">
        <f>SUMPRODUCT(C54:E54,C10:E10,C27:E27)</f>
        <v>5295571.776000001</v>
      </c>
      <c r="I54" s="89" t="s">
        <v>163</v>
      </c>
    </row>
    <row r="55" spans="1:9" ht="19.05" customHeight="1">
      <c r="A55" s="86" t="s">
        <v>93</v>
      </c>
      <c r="B55" s="90" t="s">
        <v>164</v>
      </c>
      <c r="C55" s="91">
        <f>SUM(C46:C54)</f>
        <v>327577.968</v>
      </c>
      <c r="D55" s="91">
        <f>SUM(D46:D54)</f>
        <v>257697.968</v>
      </c>
      <c r="E55" s="91">
        <f>SUM(E46:E54)</f>
        <v>327577.968</v>
      </c>
      <c r="F55" s="91">
        <f>SUMPRODUCT(C55:E55,C10:E10)</f>
        <v>3533477.6479999996</v>
      </c>
      <c r="G55" s="91">
        <f t="shared" si="0"/>
        <v>321225.2407272727</v>
      </c>
      <c r="H55" s="91">
        <f>SUMPRODUCT(C55:E55,C10:E10,C27:E27)</f>
        <v>42401731.77599999</v>
      </c>
      <c r="I55" s="92" t="s">
        <v>165</v>
      </c>
    </row>
    <row r="56" spans="1:9" ht="19.05" customHeight="1">
      <c r="A56" s="93" t="s">
        <v>93</v>
      </c>
      <c r="B56" s="94" t="s">
        <v>166</v>
      </c>
      <c r="C56" s="95">
        <f>C45+C55</f>
        <v>2881627.968</v>
      </c>
      <c r="D56" s="95">
        <f>D45+D55</f>
        <v>2174207.968</v>
      </c>
      <c r="E56" s="95">
        <f>E45+E55</f>
        <v>2881627.968</v>
      </c>
      <c r="F56" s="95">
        <f>SUMPRODUCT(C56:E56,C10:E10)</f>
        <v>30990487.648</v>
      </c>
      <c r="G56" s="95">
        <f t="shared" si="0"/>
        <v>2817317.0589090907</v>
      </c>
      <c r="H56" s="95">
        <f>SUMPRODUCT(C56:E56,C10:E10,C27:E27)</f>
        <v>371885851.77599996</v>
      </c>
      <c r="I56" s="96" t="s">
        <v>167</v>
      </c>
    </row>
    <row r="57" spans="1:9" ht="16.5" customHeight="1">
      <c r="A57" s="97" t="s">
        <v>168</v>
      </c>
      <c r="B57" s="98" t="s">
        <v>169</v>
      </c>
      <c r="C57" s="99">
        <v>30000</v>
      </c>
      <c r="D57" s="99">
        <v>30000</v>
      </c>
      <c r="E57" s="99">
        <v>30000</v>
      </c>
      <c r="F57" s="100">
        <f>SUMPRODUCT(C57:E57,C10:E10)</f>
        <v>330000</v>
      </c>
      <c r="G57" s="100">
        <f t="shared" si="0"/>
        <v>30000</v>
      </c>
      <c r="H57" s="100">
        <f>SUMPRODUCT(C57:E57,C10:E10,C27:E27)</f>
        <v>3960000</v>
      </c>
      <c r="I57" s="101" t="s">
        <v>93</v>
      </c>
    </row>
    <row r="58" spans="1:9" ht="16.5" customHeight="1">
      <c r="A58" s="102" t="s">
        <v>93</v>
      </c>
      <c r="B58" s="103" t="s">
        <v>170</v>
      </c>
      <c r="C58" s="104">
        <f>IF(C$96=0,0,IF(C$97=1,ROUNDUP(C$96/12,-1),C$96/12))</f>
        <v>8333.333333333334</v>
      </c>
      <c r="D58" s="104">
        <f>IF(D$96=0,0,IF(D$97=1,ROUNDUP(D$96/12,-1),D$96/12))</f>
        <v>8333.333333333334</v>
      </c>
      <c r="E58" s="104">
        <f>IF(E$96=0,0,IF(E$97=1,ROUNDUP(E$96/12,-1),E$96/12))</f>
        <v>8333.333333333334</v>
      </c>
      <c r="F58" s="104">
        <f>SUMPRODUCT(C58:E58,C10:E10)</f>
        <v>91666.66666666667</v>
      </c>
      <c r="G58" s="104">
        <f t="shared" si="0"/>
        <v>8333.333333333334</v>
      </c>
      <c r="H58" s="104">
        <f>SUMPRODUCT(C58:E58,C10:E10,C27:E27)</f>
        <v>1100000</v>
      </c>
      <c r="I58" s="105" t="s">
        <v>171</v>
      </c>
    </row>
    <row r="59" spans="1:9" ht="16.5" customHeight="1">
      <c r="A59" s="102" t="s">
        <v>93</v>
      </c>
      <c r="B59" s="103" t="s">
        <v>172</v>
      </c>
      <c r="C59" s="104">
        <f>C$98</f>
        <v>10000</v>
      </c>
      <c r="D59" s="104">
        <f>D$98</f>
        <v>10000</v>
      </c>
      <c r="E59" s="104">
        <f>E$98</f>
        <v>10000</v>
      </c>
      <c r="F59" s="104">
        <f>SUMPRODUCT(C59:E59,C10:E10)</f>
        <v>110000</v>
      </c>
      <c r="G59" s="104">
        <f t="shared" si="0"/>
        <v>10000</v>
      </c>
      <c r="H59" s="104">
        <f>SUMPRODUCT(C59:E59,C10:E10,C27:E27)</f>
        <v>1320000</v>
      </c>
      <c r="I59" s="105" t="s">
        <v>173</v>
      </c>
    </row>
    <row r="60" spans="1:9" ht="16.5" customHeight="1">
      <c r="A60" s="102" t="s">
        <v>93</v>
      </c>
      <c r="B60" s="103" t="s">
        <v>174</v>
      </c>
      <c r="C60" s="104">
        <f>C$99</f>
        <v>3000</v>
      </c>
      <c r="D60" s="104">
        <f>D$99</f>
        <v>3000</v>
      </c>
      <c r="E60" s="104">
        <f>E$99</f>
        <v>3000</v>
      </c>
      <c r="F60" s="104">
        <f>SUMPRODUCT(C60:E60,C10:E10)</f>
        <v>33000</v>
      </c>
      <c r="G60" s="104">
        <f t="shared" si="0"/>
        <v>3000</v>
      </c>
      <c r="H60" s="104">
        <f>SUMPRODUCT(C60:E60,C10:E10,C27:E27)</f>
        <v>396000</v>
      </c>
      <c r="I60" s="105" t="s">
        <v>93</v>
      </c>
    </row>
    <row r="61" spans="1:9" ht="16.5" customHeight="1">
      <c r="A61" s="102" t="s">
        <v>93</v>
      </c>
      <c r="B61" s="103" t="s">
        <v>175</v>
      </c>
      <c r="C61" s="104">
        <f>C31*C$100*C$101/12</f>
        <v>8560</v>
      </c>
      <c r="D61" s="104">
        <f>D31*D$100*D$101/12</f>
        <v>8560</v>
      </c>
      <c r="E61" s="104">
        <f>E31*E$100*E$101/12</f>
        <v>8560</v>
      </c>
      <c r="F61" s="104">
        <f>SUMPRODUCT(C61:E61,C10:E10)</f>
        <v>94160</v>
      </c>
      <c r="G61" s="104">
        <f t="shared" si="0"/>
        <v>8560</v>
      </c>
      <c r="H61" s="104">
        <f>SUMPRODUCT(C61:E61,C10:E10,C27:E27)</f>
        <v>1129920</v>
      </c>
      <c r="I61" s="105" t="s">
        <v>176</v>
      </c>
    </row>
    <row r="62" spans="1:9" ht="16.5" customHeight="1">
      <c r="A62" s="102" t="s">
        <v>93</v>
      </c>
      <c r="B62" s="103" t="s">
        <v>177</v>
      </c>
      <c r="C62" s="104">
        <f>IF($C$118=0,0,C$102*C$103/12/$C$118)</f>
        <v>416.66666666666663</v>
      </c>
      <c r="D62" s="104">
        <f>IF($C$118=0,0,D$102*D$103/12/$C$118)</f>
        <v>416.66666666666663</v>
      </c>
      <c r="E62" s="104">
        <f>IF($C$118=0,0,E$102*E$103/12/$C$118)</f>
        <v>416.66666666666663</v>
      </c>
      <c r="F62" s="104">
        <f>SUMPRODUCT(C62:E62,C10:E10)</f>
        <v>4583.333333333333</v>
      </c>
      <c r="G62" s="104">
        <f t="shared" si="0"/>
        <v>416.66666666666663</v>
      </c>
      <c r="H62" s="104">
        <f>SUMPRODUCT(C62:E62,C10:E10,C27:E27)</f>
        <v>54999.99999999999</v>
      </c>
      <c r="I62" s="105" t="s">
        <v>178</v>
      </c>
    </row>
    <row r="63" spans="1:9" ht="16.5" customHeight="1">
      <c r="A63" s="102" t="s">
        <v>93</v>
      </c>
      <c r="B63" s="103" t="s">
        <v>179</v>
      </c>
      <c r="C63" s="104">
        <f>IF(C$105&gt;0,C$105,IF(C$106=1,ROUNDDOWN(C56*C$104,-1),C56*C$104))</f>
        <v>48980</v>
      </c>
      <c r="D63" s="104">
        <f>IF(D$105&gt;0,D$105,IF(D$106=1,ROUNDDOWN(D56*D$104,-1),D56*D$104))</f>
        <v>36960</v>
      </c>
      <c r="E63" s="104">
        <f>IF(E$105&gt;0,E$105,IF(E$106=1,ROUNDDOWN(E56*E$104,-1),E56*E$104))</f>
        <v>48980</v>
      </c>
      <c r="F63" s="104">
        <f>SUMPRODUCT(C63:E63,C10:E10)</f>
        <v>526760</v>
      </c>
      <c r="G63" s="104">
        <f t="shared" si="0"/>
        <v>47887.27272727273</v>
      </c>
      <c r="H63" s="104">
        <f>SUMPRODUCT(C63:E63,C10:E10,C27:E27)</f>
        <v>6321120</v>
      </c>
      <c r="I63" s="105" t="s">
        <v>180</v>
      </c>
    </row>
    <row r="64" spans="1:9" ht="16.5" customHeight="1">
      <c r="A64" s="102" t="s">
        <v>93</v>
      </c>
      <c r="B64" s="103" t="s">
        <v>181</v>
      </c>
      <c r="C64" s="104">
        <f>IF(C$108&gt;0,C$108,IF(C$109=1,ROUNDDOWN(C56*C$107,-1),C56*C$107))</f>
        <v>14400</v>
      </c>
      <c r="D64" s="104">
        <f>IF(D$108&gt;0,D$108,IF(D$109=1,ROUNDDOWN(D56*D$107,-1),D56*D$107))</f>
        <v>10870</v>
      </c>
      <c r="E64" s="104">
        <f>IF(E$108&gt;0,E$108,IF(E$109=1,ROUNDDOWN(E56*E$107,-1),E56*E$107))</f>
        <v>14400</v>
      </c>
      <c r="F64" s="104">
        <f>SUMPRODUCT(C64:E64,C10:E10)</f>
        <v>154870</v>
      </c>
      <c r="G64" s="104">
        <f t="shared" si="0"/>
        <v>14079.09090909091</v>
      </c>
      <c r="H64" s="104">
        <f>SUMPRODUCT(C64:E64,C10:E10,C27:E27)</f>
        <v>1858440</v>
      </c>
      <c r="I64" s="105" t="s">
        <v>182</v>
      </c>
    </row>
    <row r="65" spans="1:9" ht="16.5" customHeight="1">
      <c r="A65" s="102" t="s">
        <v>93</v>
      </c>
      <c r="B65" s="103" t="s">
        <v>183</v>
      </c>
      <c r="C65" s="106">
        <v>0</v>
      </c>
      <c r="D65" s="106">
        <v>0</v>
      </c>
      <c r="E65" s="106">
        <v>0</v>
      </c>
      <c r="F65" s="104">
        <f>SUMPRODUCT(C65:E65,C10:E10)</f>
        <v>0</v>
      </c>
      <c r="G65" s="104">
        <f t="shared" si="0"/>
        <v>0</v>
      </c>
      <c r="H65" s="104">
        <f>SUMPRODUCT(C65:E65,C10:E10,C27:E27)</f>
        <v>0</v>
      </c>
      <c r="I65" s="105" t="s">
        <v>184</v>
      </c>
    </row>
    <row r="66" spans="1:9" ht="16.5" customHeight="1">
      <c r="A66" s="102" t="s">
        <v>93</v>
      </c>
      <c r="B66" s="103" t="s">
        <v>185</v>
      </c>
      <c r="C66" s="104">
        <f>IF(OR($C$119=0,C26=1,$C$121=0),0,$C$120/$C$121)</f>
        <v>0</v>
      </c>
      <c r="D66" s="104">
        <f>IF(OR($C$119=0,D26=1,$C$121=0),0,$C$120/$C$121)</f>
        <v>0</v>
      </c>
      <c r="E66" s="104">
        <f>IF(OR($C$119=0,E26=1,$C$121=0),0,$C$120/$C$121)</f>
        <v>0</v>
      </c>
      <c r="F66" s="104">
        <f>SUMPRODUCT(C66:E66,C10:E10)</f>
        <v>0</v>
      </c>
      <c r="G66" s="104">
        <f t="shared" si="0"/>
        <v>0</v>
      </c>
      <c r="H66" s="104">
        <f>SUMPRODUCT(C66:E66,C10:E10,C27:E27)</f>
        <v>0</v>
      </c>
      <c r="I66" s="105" t="s">
        <v>186</v>
      </c>
    </row>
    <row r="67" spans="1:9" ht="19.05" customHeight="1">
      <c r="A67" s="102" t="s">
        <v>93</v>
      </c>
      <c r="B67" s="107" t="s">
        <v>187</v>
      </c>
      <c r="C67" s="108">
        <f>SUM(C57:C66)</f>
        <v>123690</v>
      </c>
      <c r="D67" s="108">
        <f>SUM(D57:D66)</f>
        <v>108140</v>
      </c>
      <c r="E67" s="108">
        <f>SUM(E57:E66)</f>
        <v>123690</v>
      </c>
      <c r="F67" s="108">
        <f>SUMPRODUCT(C67:E67,C10:E10)</f>
        <v>1345040</v>
      </c>
      <c r="G67" s="108">
        <f t="shared" si="0"/>
        <v>122276.36363636363</v>
      </c>
      <c r="H67" s="108">
        <f>SUMPRODUCT(C67:E67,C10:E10,C27:E27)</f>
        <v>16140480</v>
      </c>
      <c r="I67" s="109" t="s">
        <v>188</v>
      </c>
    </row>
    <row r="68" spans="1:9" ht="19.05" customHeight="1">
      <c r="A68" s="110" t="s">
        <v>189</v>
      </c>
      <c r="B68" s="111" t="s">
        <v>190</v>
      </c>
      <c r="C68" s="112">
        <f>C56+C67</f>
        <v>3005317.968</v>
      </c>
      <c r="D68" s="112">
        <f>D56+D67</f>
        <v>2282347.968</v>
      </c>
      <c r="E68" s="112">
        <f>E56+E67</f>
        <v>3005317.968</v>
      </c>
      <c r="F68" s="112">
        <f>SUMPRODUCT(C68:E68,C10:E10)</f>
        <v>32335527.648</v>
      </c>
      <c r="G68" s="112">
        <f t="shared" si="0"/>
        <v>2939593.4225454545</v>
      </c>
      <c r="H68" s="112">
        <f>SUMPRODUCT(C68:E68,C10:E10,C27:E27)</f>
        <v>388026331.77599996</v>
      </c>
      <c r="I68" s="113" t="s">
        <v>191</v>
      </c>
    </row>
    <row r="69" spans="1:9" ht="16.5" customHeight="1">
      <c r="A69" s="114" t="s">
        <v>93</v>
      </c>
      <c r="B69" s="115" t="s">
        <v>192</v>
      </c>
      <c r="C69" s="116">
        <f>IF(C$111=1,ROUNDUP(C68*C$110,-1),C68*C$110)</f>
        <v>150270</v>
      </c>
      <c r="D69" s="116">
        <f>IF(D$111=1,ROUNDUP(D68*D$110,-1),D68*D$110)</f>
        <v>114120</v>
      </c>
      <c r="E69" s="116">
        <f>IF(E$111=1,ROUNDUP(E68*E$110,-1),E68*E$110)</f>
        <v>150270</v>
      </c>
      <c r="F69" s="116">
        <f>SUMPRODUCT(C69:E69,C10:E10)</f>
        <v>1616820</v>
      </c>
      <c r="G69" s="116">
        <f t="shared" si="0"/>
        <v>146983.63636363635</v>
      </c>
      <c r="H69" s="116">
        <f>SUMPRODUCT(C69:E69,C10:E10,C27:E27)</f>
        <v>19401840</v>
      </c>
      <c r="I69" s="117" t="s">
        <v>193</v>
      </c>
    </row>
    <row r="70" spans="1:9" ht="16.5" customHeight="1">
      <c r="A70" s="114" t="s">
        <v>93</v>
      </c>
      <c r="B70" s="115" t="s">
        <v>194</v>
      </c>
      <c r="C70" s="116">
        <f>C68+C69</f>
        <v>3155587.968</v>
      </c>
      <c r="D70" s="116">
        <f>D68+D69</f>
        <v>2396467.968</v>
      </c>
      <c r="E70" s="116">
        <f>E68+E69</f>
        <v>3155587.968</v>
      </c>
      <c r="F70" s="116">
        <f>SUMPRODUCT(C70:E70,C10:E10)</f>
        <v>33952347.648</v>
      </c>
      <c r="G70" s="116">
        <f t="shared" si="0"/>
        <v>3086577.058909091</v>
      </c>
      <c r="H70" s="116">
        <f>SUMPRODUCT(C70:E70,C10:E10,C27:E27)</f>
        <v>407428171.77599996</v>
      </c>
      <c r="I70" s="117" t="s">
        <v>195</v>
      </c>
    </row>
    <row r="71" spans="1:9" ht="16.5" customHeight="1">
      <c r="A71" s="114" t="s">
        <v>93</v>
      </c>
      <c r="B71" s="115" t="s">
        <v>196</v>
      </c>
      <c r="C71" s="116">
        <f>IF(C$113=1,C70,C68)*C$112</f>
        <v>60106.35936</v>
      </c>
      <c r="D71" s="116">
        <f>IF(D$113=1,D70,D68)*D$112</f>
        <v>45646.95936</v>
      </c>
      <c r="E71" s="116">
        <f>IF(E$113=1,E70,E68)*E$112</f>
        <v>60106.35936</v>
      </c>
      <c r="F71" s="116">
        <f>SUMPRODUCT(C71:E71,C10:E10)</f>
        <v>646710.55296</v>
      </c>
      <c r="G71" s="116">
        <f t="shared" si="0"/>
        <v>58791.86845090909</v>
      </c>
      <c r="H71" s="116">
        <f>SUMPRODUCT(C71:E71,C10:E10,C27:E27)</f>
        <v>7760526.63552</v>
      </c>
      <c r="I71" s="117" t="s">
        <v>197</v>
      </c>
    </row>
    <row r="72" spans="1:9" ht="19.05" customHeight="1">
      <c r="A72" s="118" t="s">
        <v>93</v>
      </c>
      <c r="B72" s="119" t="s">
        <v>198</v>
      </c>
      <c r="C72" s="120">
        <f>C70+C71</f>
        <v>3215694.32736</v>
      </c>
      <c r="D72" s="120">
        <f>D70+D71</f>
        <v>2442114.92736</v>
      </c>
      <c r="E72" s="120">
        <f>E70+E71</f>
        <v>3215694.32736</v>
      </c>
      <c r="F72" s="120">
        <f>SUMPRODUCT(C72:E72,C10:E10)</f>
        <v>34599058.20096</v>
      </c>
      <c r="G72" s="120">
        <f t="shared" si="0"/>
        <v>3145368.92736</v>
      </c>
      <c r="H72" s="120">
        <f>SUMPRODUCT(C72:E72,C10:E10,C27:E27)</f>
        <v>415188698.41152</v>
      </c>
      <c r="I72" s="121" t="s">
        <v>199</v>
      </c>
    </row>
    <row r="73" spans="1:9" ht="19.05" customHeight="1">
      <c r="A73" s="122" t="s">
        <v>93</v>
      </c>
      <c r="B73" s="123" t="s">
        <v>200</v>
      </c>
      <c r="C73" s="124">
        <f>CHOOSE(C$114+1,ROUNDDOWN(C72,-3),ROUNDUP(C72,-3),ROUNDDOWN(C72,-2),ROUND(C72,0),ROUND(C72,-3))</f>
        <v>3216000</v>
      </c>
      <c r="D73" s="124">
        <f>CHOOSE(D$114+1,ROUNDDOWN(D72,-3),ROUNDUP(D72,-3),ROUNDDOWN(D72,-2),ROUND(D72,0),ROUND(D72,-3))</f>
        <v>2443000</v>
      </c>
      <c r="E73" s="124">
        <f>CHOOSE(E$114+1,ROUNDDOWN(E72,-3),ROUNDUP(E72,-3),ROUNDDOWN(E72,-2),ROUND(E72,0),ROUND(E72,-3))</f>
        <v>3216000</v>
      </c>
      <c r="F73" s="124">
        <f>SUMPRODUCT(C73:E73,C10:E10)</f>
        <v>34603000</v>
      </c>
      <c r="G73" s="124">
        <f t="shared" si="0"/>
        <v>3145727.272727273</v>
      </c>
      <c r="H73" s="124">
        <f>SUMPRODUCT(C73:E73,C10:E10,C27:E27)</f>
        <v>415236000</v>
      </c>
      <c r="I73" s="125" t="s">
        <v>201</v>
      </c>
    </row>
    <row r="76" spans="1:9" ht="20.05" customHeight="1">
      <c r="A76" s="126" t="s">
        <v>202</v>
      </c>
    </row>
    <row r="77" spans="1:9" ht="30.1" customHeight="1">
      <c r="B77" s="49" t="s">
        <v>203</v>
      </c>
      <c r="C77" s="49" t="inlineStr">
        <is>
          <t xml:space="preserve">경비원</t>
        </is>
      </c>
      <c r="D77" s="49" t="inlineStr">
        <is>
          <t xml:space="preserve">단시간 경비원</t>
        </is>
      </c>
      <c r="E77" s="49" t="inlineStr">
        <is>
          <t xml:space="preserve"/>
        </is>
      </c>
      <c r="F77" s="549" t="s">
        <v>60</v>
      </c>
      <c r="G77" s="549"/>
      <c r="H77" s="549"/>
      <c r="I77" s="549"/>
    </row>
    <row r="78" spans="1:9" ht="16" customHeight="1">
      <c r="B78" s="127" t="s">
        <v>204</v>
      </c>
      <c r="C78" s="128">
        <v>10700</v>
      </c>
      <c r="D78" s="128">
        <v>10700</v>
      </c>
      <c r="E78" s="128">
        <v>10700</v>
      </c>
      <c r="F78" s="550" t="s">
        <v>205</v>
      </c>
      <c r="G78" s="550"/>
      <c r="H78" s="550"/>
      <c r="I78" s="550"/>
    </row>
    <row r="79" spans="1:9" ht="16" customHeight="1">
      <c r="B79" s="127" t="s">
        <v>206</v>
      </c>
      <c r="C79" s="129">
        <v>0.03595</v>
      </c>
      <c r="D79" s="129">
        <v>0.03595</v>
      </c>
      <c r="E79" s="129">
        <v>0.03595</v>
      </c>
      <c r="F79" s="550" t="s">
        <v>207</v>
      </c>
      <c r="G79" s="550"/>
      <c r="H79" s="550"/>
      <c r="I79" s="550"/>
    </row>
    <row r="80" spans="1:9" ht="16" customHeight="1">
      <c r="B80" s="127" t="s">
        <v>208</v>
      </c>
      <c r="C80" s="130">
        <v>0.13140000000000002</v>
      </c>
      <c r="D80" s="130">
        <v>0.13140000000000002</v>
      </c>
      <c r="E80" s="130">
        <v>0.13140000000000002</v>
      </c>
      <c r="F80" s="550" t="s">
        <v>93</v>
      </c>
      <c r="G80" s="550"/>
      <c r="H80" s="550"/>
      <c r="I80" s="550"/>
    </row>
    <row r="81" spans="2:9" ht="16" customHeight="1">
      <c r="B81" s="127" t="s">
        <v>150</v>
      </c>
      <c r="C81" s="129">
        <v>0.05</v>
      </c>
      <c r="D81" s="129">
        <v>0.05</v>
      </c>
      <c r="E81" s="129">
        <v>0.05</v>
      </c>
      <c r="F81" s="550" t="s">
        <v>93</v>
      </c>
      <c r="G81" s="550"/>
      <c r="H81" s="550"/>
      <c r="I81" s="550"/>
    </row>
    <row r="82" spans="2:9" ht="16" customHeight="1">
      <c r="B82" s="127" t="s">
        <v>209</v>
      </c>
      <c r="C82" s="129">
        <v>0.018500000000000003</v>
      </c>
      <c r="D82" s="129">
        <v>0.018500000000000003</v>
      </c>
      <c r="E82" s="129">
        <v>0.018500000000000003</v>
      </c>
      <c r="F82" s="550" t="s">
        <v>210</v>
      </c>
      <c r="G82" s="550"/>
      <c r="H82" s="550"/>
      <c r="I82" s="550"/>
    </row>
    <row r="83" spans="2:9" ht="16" customHeight="1">
      <c r="B83" s="127" t="s">
        <v>211</v>
      </c>
      <c r="C83" s="129">
        <v>0.0086</v>
      </c>
      <c r="D83" s="129">
        <v>0.0086</v>
      </c>
      <c r="E83" s="129">
        <v>0.0086</v>
      </c>
      <c r="F83" s="550" t="s">
        <v>212</v>
      </c>
      <c r="G83" s="550"/>
      <c r="H83" s="550"/>
      <c r="I83" s="550"/>
    </row>
    <row r="84" spans="2:9" ht="16" customHeight="1">
      <c r="B84" s="127" t="s">
        <v>156</v>
      </c>
      <c r="C84" s="129">
        <v>0.0009</v>
      </c>
      <c r="D84" s="129">
        <v>0.0009</v>
      </c>
      <c r="E84" s="129">
        <v>0.0009</v>
      </c>
      <c r="F84" s="550" t="s">
        <v>213</v>
      </c>
      <c r="G84" s="550"/>
      <c r="H84" s="550"/>
      <c r="I84" s="550"/>
    </row>
    <row r="85" spans="2:9" ht="16" customHeight="1">
      <c r="B85" s="127" t="s">
        <v>158</v>
      </c>
      <c r="C85" s="131">
        <v>0.00006</v>
      </c>
      <c r="D85" s="131">
        <v>0.00006</v>
      </c>
      <c r="E85" s="131">
        <v>0.00006</v>
      </c>
      <c r="F85" s="550" t="s">
        <v>213</v>
      </c>
      <c r="G85" s="550"/>
      <c r="H85" s="550"/>
      <c r="I85" s="550"/>
    </row>
    <row r="86" spans="2:9" ht="16" customHeight="1">
      <c r="B86" s="127" t="s">
        <v>214</v>
      </c>
      <c r="C86" s="132">
        <v>1.5</v>
      </c>
      <c r="D86" s="132">
        <v>1.5</v>
      </c>
      <c r="E86" s="132">
        <v>1.5</v>
      </c>
      <c r="F86" s="550" t="s">
        <v>215</v>
      </c>
      <c r="G86" s="550"/>
      <c r="H86" s="550"/>
      <c r="I86" s="550"/>
    </row>
    <row r="87" spans="2:9" ht="16" customHeight="1">
      <c r="B87" s="127" t="s">
        <v>216</v>
      </c>
      <c r="C87" s="132">
        <v>1</v>
      </c>
      <c r="D87" s="132">
        <v>1</v>
      </c>
      <c r="E87" s="132">
        <v>1</v>
      </c>
      <c r="F87" s="550" t="s">
        <v>93</v>
      </c>
      <c r="G87" s="550"/>
      <c r="H87" s="550"/>
      <c r="I87" s="550"/>
    </row>
    <row r="88" spans="2:9" ht="16" customHeight="1">
      <c r="B88" s="127" t="s">
        <v>217</v>
      </c>
      <c r="C88" s="132">
        <v>0.5</v>
      </c>
      <c r="D88" s="132">
        <v>0.5</v>
      </c>
      <c r="E88" s="132">
        <v>0.5</v>
      </c>
      <c r="F88" s="550" t="s">
        <v>218</v>
      </c>
      <c r="G88" s="550"/>
      <c r="H88" s="550"/>
      <c r="I88" s="550"/>
    </row>
    <row r="89" spans="2:9" ht="16" customHeight="1">
      <c r="B89" s="127" t="s">
        <v>219</v>
      </c>
      <c r="C89" s="133">
        <v>8</v>
      </c>
      <c r="D89" s="133">
        <v>8</v>
      </c>
      <c r="E89" s="133">
        <v>8</v>
      </c>
      <c r="F89" s="550" t="s">
        <v>93</v>
      </c>
      <c r="G89" s="550"/>
      <c r="H89" s="550"/>
      <c r="I89" s="550"/>
    </row>
    <row r="90" spans="2:9" ht="16" customHeight="1">
      <c r="B90" s="127" t="s">
        <v>220</v>
      </c>
      <c r="C90" s="134">
        <v>90000</v>
      </c>
      <c r="D90" s="134">
        <v>90000</v>
      </c>
      <c r="E90" s="134">
        <v>90000</v>
      </c>
      <c r="F90" s="550" t="s">
        <v>93</v>
      </c>
      <c r="G90" s="550"/>
      <c r="H90" s="550"/>
      <c r="I90" s="550"/>
    </row>
    <row r="91" spans="2:9" ht="16" customHeight="1">
      <c r="B91" s="127" t="s">
        <v>221</v>
      </c>
      <c r="C91" s="133">
        <v>1</v>
      </c>
      <c r="D91" s="133">
        <v>1</v>
      </c>
      <c r="E91" s="133">
        <v>1</v>
      </c>
      <c r="F91" s="550" t="s">
        <v>93</v>
      </c>
      <c r="G91" s="550"/>
      <c r="H91" s="550"/>
      <c r="I91" s="550"/>
    </row>
    <row r="92" spans="2:9" ht="16" customHeight="1">
      <c r="B92" s="127" t="s">
        <v>222</v>
      </c>
      <c r="C92" s="135">
        <v>0.031</v>
      </c>
      <c r="D92" s="135">
        <v>0.031</v>
      </c>
      <c r="E92" s="135">
        <v>0.031</v>
      </c>
      <c r="F92" s="550" t="s">
        <v>93</v>
      </c>
      <c r="G92" s="550"/>
      <c r="H92" s="550"/>
      <c r="I92" s="550"/>
    </row>
    <row r="93" spans="2:9" ht="16" customHeight="1">
      <c r="B93" s="127" t="s">
        <v>223</v>
      </c>
      <c r="C93" s="134">
        <v>1294128</v>
      </c>
      <c r="D93" s="134">
        <v>1294128</v>
      </c>
      <c r="E93" s="134">
        <v>1294128</v>
      </c>
      <c r="F93" s="550" t="s">
        <v>93</v>
      </c>
      <c r="G93" s="550"/>
      <c r="H93" s="550"/>
      <c r="I93" s="550"/>
    </row>
    <row r="94" spans="2:9" ht="16" customHeight="1">
      <c r="B94" s="127" t="s">
        <v>224</v>
      </c>
      <c r="C94" s="136">
        <v>1</v>
      </c>
      <c r="D94" s="136">
        <v>1</v>
      </c>
      <c r="E94" s="136">
        <v>1</v>
      </c>
      <c r="F94" s="550" t="s">
        <v>93</v>
      </c>
      <c r="G94" s="550"/>
      <c r="H94" s="550"/>
      <c r="I94" s="550"/>
    </row>
    <row r="95" spans="2:9" ht="16" customHeight="1">
      <c r="B95" s="127" t="s">
        <v>225</v>
      </c>
      <c r="C95" s="133">
        <v>0</v>
      </c>
      <c r="D95" s="133">
        <v>0</v>
      </c>
      <c r="E95" s="133">
        <v>0</v>
      </c>
      <c r="F95" s="550" t="s">
        <v>93</v>
      </c>
      <c r="G95" s="550"/>
      <c r="H95" s="550"/>
      <c r="I95" s="550"/>
    </row>
    <row r="96" spans="2:9" ht="16" customHeight="1">
      <c r="B96" s="127" t="s">
        <v>226</v>
      </c>
      <c r="C96" s="134">
        <v>100000</v>
      </c>
      <c r="D96" s="134">
        <v>100000</v>
      </c>
      <c r="E96" s="134">
        <v>100000</v>
      </c>
      <c r="F96" s="550" t="s">
        <v>93</v>
      </c>
      <c r="G96" s="550"/>
      <c r="H96" s="550"/>
      <c r="I96" s="550"/>
    </row>
    <row r="97" spans="2:9" ht="16" customHeight="1">
      <c r="B97" s="127" t="s">
        <v>227</v>
      </c>
      <c r="C97" s="133">
        <v>0</v>
      </c>
      <c r="D97" s="133">
        <v>0</v>
      </c>
      <c r="E97" s="133">
        <v>0</v>
      </c>
      <c r="F97" s="550" t="s">
        <v>93</v>
      </c>
      <c r="G97" s="550"/>
      <c r="H97" s="550"/>
      <c r="I97" s="550"/>
    </row>
    <row r="98" spans="2:9" ht="16" customHeight="1">
      <c r="B98" s="127" t="s">
        <v>228</v>
      </c>
      <c r="C98" s="134">
        <v>10000</v>
      </c>
      <c r="D98" s="134">
        <v>10000</v>
      </c>
      <c r="E98" s="134">
        <v>10000</v>
      </c>
      <c r="F98" s="550" t="s">
        <v>229</v>
      </c>
      <c r="G98" s="550"/>
      <c r="H98" s="550"/>
      <c r="I98" s="550"/>
    </row>
    <row r="99" spans="2:9" ht="16" customHeight="1">
      <c r="B99" s="127" t="s">
        <v>230</v>
      </c>
      <c r="C99" s="134">
        <v>3000</v>
      </c>
      <c r="D99" s="134">
        <v>3000</v>
      </c>
      <c r="E99" s="134">
        <v>3000</v>
      </c>
      <c r="F99" s="550" t="s">
        <v>93</v>
      </c>
      <c r="G99" s="550"/>
      <c r="H99" s="550"/>
      <c r="I99" s="550"/>
    </row>
    <row r="100" spans="2:9" ht="16" customHeight="1">
      <c r="B100" s="127" t="s">
        <v>231</v>
      </c>
      <c r="C100" s="137">
        <v>12</v>
      </c>
      <c r="D100" s="137">
        <v>12</v>
      </c>
      <c r="E100" s="137">
        <v>12</v>
      </c>
      <c r="F100" s="550" t="s">
        <v>93</v>
      </c>
      <c r="G100" s="550"/>
      <c r="H100" s="550"/>
      <c r="I100" s="550"/>
    </row>
    <row r="101" spans="2:9" ht="16" customHeight="1">
      <c r="B101" s="127" t="s">
        <v>232</v>
      </c>
      <c r="C101" s="137">
        <v>0.8</v>
      </c>
      <c r="D101" s="137">
        <v>0.8</v>
      </c>
      <c r="E101" s="137">
        <v>0.8</v>
      </c>
      <c r="F101" s="550" t="s">
        <v>93</v>
      </c>
      <c r="G101" s="550"/>
      <c r="H101" s="550"/>
      <c r="I101" s="550"/>
    </row>
    <row r="102" spans="2:9" ht="16" customHeight="1">
      <c r="B102" s="127" t="s">
        <v>233</v>
      </c>
      <c r="C102" s="134">
        <v>55000</v>
      </c>
      <c r="D102" s="134">
        <v>55000</v>
      </c>
      <c r="E102" s="134">
        <v>55000</v>
      </c>
      <c r="F102" s="550" t="s">
        <v>93</v>
      </c>
      <c r="G102" s="550"/>
      <c r="H102" s="550"/>
      <c r="I102" s="550"/>
    </row>
    <row r="103" spans="2:9" ht="16" customHeight="1">
      <c r="B103" s="127" t="s">
        <v>234</v>
      </c>
      <c r="C103" s="133">
        <v>1</v>
      </c>
      <c r="D103" s="133">
        <v>1</v>
      </c>
      <c r="E103" s="133">
        <v>1</v>
      </c>
      <c r="F103" s="550" t="s">
        <v>93</v>
      </c>
      <c r="G103" s="550"/>
      <c r="H103" s="550"/>
      <c r="I103" s="550"/>
    </row>
    <row r="104" spans="2:9" ht="16" customHeight="1">
      <c r="B104" s="127" t="s">
        <v>235</v>
      </c>
      <c r="C104" s="135">
        <v>0.017</v>
      </c>
      <c r="D104" s="135">
        <v>0.017</v>
      </c>
      <c r="E104" s="135">
        <v>0.017</v>
      </c>
      <c r="F104" s="550" t="s">
        <v>93</v>
      </c>
      <c r="G104" s="550"/>
      <c r="H104" s="550"/>
      <c r="I104" s="550"/>
    </row>
    <row r="105" spans="2:9" ht="16" customHeight="1">
      <c r="B105" s="127" t="s">
        <v>236</v>
      </c>
      <c r="C105" s="134">
        <v>0</v>
      </c>
      <c r="D105" s="134">
        <v>0</v>
      </c>
      <c r="E105" s="134">
        <v>0</v>
      </c>
      <c r="F105" s="550" t="s">
        <v>237</v>
      </c>
      <c r="G105" s="550"/>
      <c r="H105" s="550"/>
      <c r="I105" s="550"/>
    </row>
    <row r="106" spans="2:9" ht="16" customHeight="1">
      <c r="B106" s="127" t="s">
        <v>238</v>
      </c>
      <c r="C106" s="133">
        <v>1</v>
      </c>
      <c r="D106" s="133">
        <v>1</v>
      </c>
      <c r="E106" s="133">
        <v>1</v>
      </c>
      <c r="F106" s="550" t="s">
        <v>93</v>
      </c>
      <c r="G106" s="550"/>
      <c r="H106" s="550"/>
      <c r="I106" s="550"/>
    </row>
    <row r="107" spans="2:9" ht="16" customHeight="1">
      <c r="B107" s="127" t="s">
        <v>239</v>
      </c>
      <c r="C107" s="135">
        <v>0.005</v>
      </c>
      <c r="D107" s="135">
        <v>0.005</v>
      </c>
      <c r="E107" s="135">
        <v>0.005</v>
      </c>
      <c r="F107" s="550" t="s">
        <v>93</v>
      </c>
      <c r="G107" s="550"/>
      <c r="H107" s="550"/>
      <c r="I107" s="550"/>
    </row>
    <row r="108" spans="2:9" ht="16" customHeight="1">
      <c r="B108" s="127" t="s">
        <v>240</v>
      </c>
      <c r="C108" s="134">
        <v>0</v>
      </c>
      <c r="D108" s="134">
        <v>0</v>
      </c>
      <c r="E108" s="134">
        <v>0</v>
      </c>
      <c r="F108" s="550" t="s">
        <v>237</v>
      </c>
      <c r="G108" s="550"/>
      <c r="H108" s="550"/>
      <c r="I108" s="550"/>
    </row>
    <row r="109" spans="2:9" ht="16" customHeight="1">
      <c r="B109" s="127" t="s">
        <v>241</v>
      </c>
      <c r="C109" s="133">
        <v>1</v>
      </c>
      <c r="D109" s="133">
        <v>1</v>
      </c>
      <c r="E109" s="133">
        <v>1</v>
      </c>
      <c r="F109" s="550" t="s">
        <v>93</v>
      </c>
      <c r="G109" s="550"/>
      <c r="H109" s="550"/>
      <c r="I109" s="550"/>
    </row>
    <row r="110" spans="2:9" ht="16" customHeight="1">
      <c r="B110" s="127" t="s">
        <v>242</v>
      </c>
      <c r="C110" s="138">
        <v>0.05</v>
      </c>
      <c r="D110" s="138">
        <v>0.05</v>
      </c>
      <c r="E110" s="138">
        <v>0.05</v>
      </c>
      <c r="F110" s="550" t="s">
        <v>93</v>
      </c>
      <c r="G110" s="550"/>
      <c r="H110" s="550"/>
      <c r="I110" s="550"/>
    </row>
    <row r="111" spans="2:9" ht="16" customHeight="1">
      <c r="B111" s="127" t="s">
        <v>243</v>
      </c>
      <c r="C111" s="133">
        <v>1</v>
      </c>
      <c r="D111" s="133">
        <v>1</v>
      </c>
      <c r="E111" s="133">
        <v>1</v>
      </c>
      <c r="F111" s="550" t="s">
        <v>93</v>
      </c>
      <c r="G111" s="550"/>
      <c r="H111" s="550"/>
      <c r="I111" s="550"/>
    </row>
    <row r="112" spans="2:9" ht="16" customHeight="1">
      <c r="B112" s="127" t="s">
        <v>244</v>
      </c>
      <c r="C112" s="139">
        <v>0.02</v>
      </c>
      <c r="D112" s="139">
        <v>0.02</v>
      </c>
      <c r="E112" s="139">
        <v>0.02</v>
      </c>
      <c r="F112" s="550" t="s">
        <v>93</v>
      </c>
      <c r="G112" s="550"/>
      <c r="H112" s="550"/>
      <c r="I112" s="550"/>
    </row>
    <row r="113" spans="1:9" ht="16" customHeight="1">
      <c r="B113" s="127" t="s">
        <v>245</v>
      </c>
      <c r="C113" s="133">
        <v>0</v>
      </c>
      <c r="D113" s="133">
        <v>0</v>
      </c>
      <c r="E113" s="133">
        <v>0</v>
      </c>
      <c r="F113" s="550" t="s">
        <v>93</v>
      </c>
      <c r="G113" s="550"/>
      <c r="H113" s="550"/>
      <c r="I113" s="550"/>
    </row>
    <row r="114" spans="1:9" ht="16" customHeight="1">
      <c r="B114" s="127" t="s">
        <v>246</v>
      </c>
      <c r="C114" s="133">
        <v>1</v>
      </c>
      <c r="D114" s="133">
        <v>1</v>
      </c>
      <c r="E114" s="133">
        <v>1</v>
      </c>
      <c r="F114" s="550" t="s">
        <v>93</v>
      </c>
      <c r="G114" s="550"/>
      <c r="H114" s="550"/>
      <c r="I114" s="550"/>
    </row>
    <row r="117" spans="1:9" ht="20.05" customHeight="1">
      <c r="A117" s="126" t="s">
        <v>247</v>
      </c>
    </row>
    <row r="118" spans="1:9" ht="16" customHeight="1">
      <c r="B118" s="140" t="s">
        <v>248</v>
      </c>
      <c r="C118" s="141">
        <f>SUM(C10:E10)</f>
        <v>11</v>
      </c>
      <c r="D118" s="142" t="s">
        <v>249</v>
      </c>
    </row>
    <row r="119" spans="1:9" ht="16" customHeight="1">
      <c r="B119" s="140" t="s">
        <v>250</v>
      </c>
      <c r="C119" s="133">
        <v>1</v>
      </c>
      <c r="D119" s="142" t="s">
        <v>251</v>
      </c>
    </row>
    <row r="120" spans="1:9" ht="16" customHeight="1">
      <c r="B120" s="140" t="s">
        <v>252</v>
      </c>
      <c r="C120" s="128">
        <f>'6. 부대비용'!D10</f>
        <v>0</v>
      </c>
      <c r="D120" s="142" t="s">
        <v>253</v>
      </c>
    </row>
    <row r="121" spans="1:9" ht="16" customHeight="1">
      <c r="B121" s="140" t="s">
        <v>254</v>
      </c>
      <c r="C121" s="141">
        <f>SUMPRODUCT(C10:E10,1-C26:E26)</f>
        <v>11</v>
      </c>
      <c r="D121" s="142" t="s">
        <v>93</v>
      </c>
    </row>
    <row r="123" spans="1:9" ht="26" customHeight="1">
      <c r="C123" s="551" t="s">
        <v>255</v>
      </c>
      <c r="D123" s="551"/>
      <c r="E123" s="551"/>
      <c r="F123" s="551"/>
      <c r="G123" s="551"/>
      <c r="H123" s="551"/>
      <c r="I123" s="551"/>
    </row>
  </sheetData>
  <mergeCells count="48">
    <mergeCell ref="F112:I112"/>
    <mergeCell ref="F113:I113"/>
    <mergeCell ref="F114:I114"/>
    <mergeCell ref="C123:I123"/>
    <mergeCell ref="F107:I107"/>
    <mergeCell ref="F108:I108"/>
    <mergeCell ref="F109:I109"/>
    <mergeCell ref="F110:I110"/>
    <mergeCell ref="F111:I111"/>
    <mergeCell ref="F102:I102"/>
    <mergeCell ref="F103:I103"/>
    <mergeCell ref="F104:I104"/>
    <mergeCell ref="F105:I105"/>
    <mergeCell ref="F106:I106"/>
    <mergeCell ref="F97:I97"/>
    <mergeCell ref="F98:I98"/>
    <mergeCell ref="F99:I99"/>
    <mergeCell ref="F100:I100"/>
    <mergeCell ref="F101:I101"/>
    <mergeCell ref="F92:I92"/>
    <mergeCell ref="F93:I93"/>
    <mergeCell ref="F94:I94"/>
    <mergeCell ref="F95:I95"/>
    <mergeCell ref="F96:I96"/>
    <mergeCell ref="F87:I87"/>
    <mergeCell ref="F88:I88"/>
    <mergeCell ref="F89:I89"/>
    <mergeCell ref="F90:I90"/>
    <mergeCell ref="F91:I91"/>
    <mergeCell ref="F82:I82"/>
    <mergeCell ref="F83:I83"/>
    <mergeCell ref="F84:I84"/>
    <mergeCell ref="F85:I85"/>
    <mergeCell ref="F86:I86"/>
    <mergeCell ref="F77:I77"/>
    <mergeCell ref="F78:I78"/>
    <mergeCell ref="F79:I79"/>
    <mergeCell ref="F80:I80"/>
    <mergeCell ref="F81:I81"/>
    <mergeCell ref="D1:G2"/>
    <mergeCell ref="H1:I1"/>
    <mergeCell ref="H2:I2"/>
    <mergeCell ref="D3:G3"/>
    <mergeCell ref="A7:B9"/>
    <mergeCell ref="F7:F9"/>
    <mergeCell ref="G7:G9"/>
    <mergeCell ref="H7:H9"/>
    <mergeCell ref="I7:I9"/>
  </mergeCells>
  <phoneticPr fontId="70" type="noConversion"/>
  <printOptions horizontalCentered="1"/>
  <pageMargins left="0.25" right="0.25" top="0.45" bottom="0.5" header="0.2" footer="0.25"/>
  <pageSetup paperSize="9" scale="51" fitToHeight="0" orientation="portrait" horizontalDpi="4294967295" verticalDpi="4294967295"/>
  <headerFooter>
    <oddFooter>&amp;L&amp;8㈜에스텍베스트 산출내역서&amp;R&amp;8&amp;P / &amp;N</oddFooter>
  </headerFooter>
  <rowBreaks count="1" manualBreakCount="1">
    <brk id="73" max="1683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596" t="inlineStr">
        <is>
          <t xml:space="preserve">업무별 비용 배분 (업무량 기반)</t>
        </is>
      </c>
      <c r="X1" s="586" t="inlineStr">
        <is>
          <t xml:space="preserve">No. 261029-0425</t>
        </is>
      </c>
    </row>
    <row r="2" ht="16" customHeight="1">
      <c r="X2" s="587" t="inlineStr">
        <is>
          <t xml:space="preserve">작성일 2026. 10. 29</t>
        </is>
      </c>
    </row>
    <row r="3" ht="16" customHeight="1">
      <c r="A3" s="588" t="inlineStr">
        <is>
          <t xml:space="preserve">공장 ○○사업장 · 보안용역 도급업무 · 단위: 원, VAT 별도</t>
        </is>
      </c>
    </row>
    <row r="5" ht="20" customHeight="1">
      <c r="A5" s="597" t="inlineStr">
        <is>
          <t xml:space="preserve">■ 산정 요약</t>
        </is>
      </c>
      <c r="B5" s="597"/>
      <c r="C5" s="597"/>
      <c r="D5" s="597"/>
      <c r="N5" s="597" t="inlineStr">
        <is>
          <t xml:space="preserve">■ 견적 금액 구성 (월)</t>
        </is>
      </c>
      <c r="O5" s="597"/>
      <c r="P5" s="597"/>
      <c r="Q5" s="597"/>
      <c r="R5" s="597"/>
    </row>
    <row r="6">
      <c r="A6" s="589" t="inlineStr">
        <is>
          <t xml:space="preserve">산정 방식</t>
        </is>
      </c>
      <c r="B6" s="589"/>
      <c r="C6" s="589"/>
      <c r="D6" s="591" t="inlineStr">
        <is>
          <t xml:space="preserve">A. 업무량 기반 비용 및 인력 산정</t>
        </is>
      </c>
      <c r="N6" s="589" t="inlineStr">
        <is>
          <t xml:space="preserve">직접노무비 ① (산출내역서 45행)</t>
        </is>
      </c>
      <c r="O6" s="589"/>
      <c r="P6" s="589"/>
      <c r="Q6" s="590">
        <v>27457010</v>
      </c>
      <c r="R6" s="601">
        <v>0.7935</v>
      </c>
    </row>
    <row r="7">
      <c r="A7" s="589" t="inlineStr">
        <is>
          <t xml:space="preserve">사업장 유형 · 직종</t>
        </is>
      </c>
      <c r="B7" s="589"/>
      <c r="C7" s="589"/>
      <c r="D7" s="591" t="inlineStr">
        <is>
          <t xml:space="preserve">공장 · 보안</t>
        </is>
      </c>
      <c r="N7" s="589" t="inlineStr">
        <is>
          <t xml:space="preserve">간접노무비 ② (산출내역서 55행)</t>
        </is>
      </c>
      <c r="O7" s="589"/>
      <c r="P7" s="589"/>
      <c r="Q7" s="590">
        <v>3533478</v>
      </c>
      <c r="R7" s="601">
        <v>0.1021</v>
      </c>
    </row>
    <row r="8">
      <c r="A8" s="589" t="inlineStr">
        <is>
          <t xml:space="preserve">견적 연도</t>
        </is>
      </c>
      <c r="B8" s="589"/>
      <c r="C8" s="589"/>
      <c r="D8" s="591" t="inlineStr">
        <is>
          <t xml:space="preserve">2027년</t>
        </is>
      </c>
      <c r="N8" s="589" t="inlineStr">
        <is>
          <t xml:space="preserve">경비 (산출내역서 67행)</t>
        </is>
      </c>
      <c r="O8" s="589"/>
      <c r="P8" s="589"/>
      <c r="Q8" s="590">
        <v>1345040</v>
      </c>
      <c r="R8" s="601">
        <v>0.0389</v>
      </c>
    </row>
    <row r="9">
      <c r="A9" s="589" t="inlineStr">
        <is>
          <t xml:space="preserve">월 총 업무시간 (h)</t>
        </is>
      </c>
      <c r="B9" s="589"/>
      <c r="C9" s="589"/>
      <c r="D9" s="598">
        <v>1752.4397</v>
      </c>
      <c r="N9" s="589" t="inlineStr">
        <is>
          <t xml:space="preserve">일반관리비 (산출내역서 69행)</t>
        </is>
      </c>
      <c r="O9" s="589"/>
      <c r="P9" s="589"/>
      <c r="Q9" s="590">
        <v>1616820</v>
      </c>
      <c r="R9" s="601">
        <v>0.0467</v>
      </c>
    </row>
    <row r="10">
      <c r="A10" s="589" t="inlineStr">
        <is>
          <t xml:space="preserve">업무량 기준 필요 인원 (명)</t>
        </is>
      </c>
      <c r="B10" s="589"/>
      <c r="C10" s="589"/>
      <c r="D10" s="598">
        <v>10.7261</v>
      </c>
      <c r="N10" s="589" t="inlineStr">
        <is>
          <t xml:space="preserve">기업이윤 · 단수조정 (65행 + 견적단가 1,000원 미만 절사)</t>
        </is>
      </c>
      <c r="O10" s="589"/>
      <c r="P10" s="589"/>
      <c r="Q10" s="590">
        <v>650652</v>
      </c>
      <c r="R10" s="601">
        <v>0.0188</v>
      </c>
    </row>
    <row r="11">
      <c r="A11" s="589" t="inlineStr">
        <is>
          <t xml:space="preserve">견적 인원 (명)</t>
        </is>
      </c>
      <c r="B11" s="589"/>
      <c r="C11" s="589"/>
      <c r="D11" s="590">
        <v>11</v>
      </c>
      <c r="N11" s="594" t="inlineStr">
        <is>
          <t xml:space="preserve">월 합계 (= 견적서 월 합계)</t>
        </is>
      </c>
      <c r="O11" s="594"/>
      <c r="P11" s="594"/>
      <c r="Q11" s="595">
        <f>SUM(Q6:Q10)</f>
        <v>34603000</v>
      </c>
      <c r="R11" s="603">
        <v>1</v>
      </c>
    </row>
    <row r="12">
      <c r="A12" s="589" t="inlineStr">
        <is>
          <t xml:space="preserve">견적 인원 월 근무시간 (h)</t>
        </is>
      </c>
      <c r="B12" s="589"/>
      <c r="C12" s="589"/>
      <c r="D12" s="598">
        <v>1757.8</v>
      </c>
    </row>
    <row r="13">
      <c r="A13" s="589" t="inlineStr">
        <is>
          <t xml:space="preserve">1인 업무부하 (업무시간 ÷ 근무시간)</t>
        </is>
      </c>
      <c r="B13" s="589"/>
      <c r="C13" s="589"/>
      <c r="D13" s="601">
        <v>0.997</v>
      </c>
    </row>
    <row r="14">
      <c r="A14" s="589" t="inlineStr">
        <is>
          <t xml:space="preserve">견적 월 합계 (원)</t>
        </is>
      </c>
      <c r="B14" s="589"/>
      <c r="C14" s="589"/>
      <c r="D14" s="590">
        <v>34603000</v>
      </c>
    </row>
    <row r="15">
      <c r="A15" s="589" t="inlineStr">
        <is>
          <t xml:space="preserve">계약기간 총액 (원)</t>
        </is>
      </c>
      <c r="B15" s="589"/>
      <c r="C15" s="589"/>
      <c r="D15" s="590">
        <v>415236000</v>
      </c>
    </row>
    <row r="16">
      <c r="A16" s="589" t="inlineStr">
        <is>
          <t xml:space="preserve">시간당 단가 (월 합계 ÷ 월 업무시간)</t>
        </is>
      </c>
      <c r="B16" s="589"/>
      <c r="C16" s="589"/>
      <c r="D16" s="590">
        <v>19745.6149</v>
      </c>
    </row>
    <row r="17">
      <c r="A17" s="589" t="inlineStr">
        <is>
          <t xml:space="preserve">원 견적 인원 (명)</t>
        </is>
      </c>
      <c r="B17" s="589"/>
      <c r="C17" s="589"/>
      <c r="D17" s="590">
        <v>11</v>
      </c>
    </row>
    <row r="18">
      <c r="A18" s="589" t="inlineStr">
        <is>
          <t xml:space="preserve">수행 가능 업무량 (원 견적 인원 기준)</t>
        </is>
      </c>
      <c r="B18" s="589"/>
      <c r="C18" s="589"/>
      <c r="D18" s="601">
        <v>1</v>
      </c>
    </row>
    <row r="19">
      <c r="A19" s="589" t="inlineStr">
        <is>
          <t xml:space="preserve">부족 인력 (명)</t>
        </is>
      </c>
      <c r="B19" s="589"/>
      <c r="C19" s="589"/>
      <c r="D19" s="598">
        <v>0</v>
      </c>
    </row>
    <row r="20">
      <c r="A20" s="589" t="inlineStr">
        <is>
          <t xml:space="preserve">부족 인력 반영</t>
        </is>
      </c>
      <c r="B20" s="589"/>
      <c r="C20" s="589"/>
      <c r="D20" s="591" t="inlineStr">
        <is>
          <t xml:space="preserve">해당 없음</t>
        </is>
      </c>
    </row>
    <row r="22" ht="30" customHeight="1">
      <c r="A22" s="597" t="inlineStr">
        <is>
          <t xml:space="preserve">코드</t>
        </is>
      </c>
      <c r="B22" s="597" t="inlineStr">
        <is>
          <t xml:space="preserve">대분류</t>
        </is>
      </c>
      <c r="C22" s="597" t="inlineStr">
        <is>
          <t xml:space="preserve">중분류</t>
        </is>
      </c>
      <c r="D22" s="597" t="inlineStr">
        <is>
          <t xml:space="preserve">업무명</t>
        </is>
      </c>
      <c r="E22" s="597" t="inlineStr">
        <is>
          <t xml:space="preserve">구분</t>
        </is>
      </c>
      <c r="F22" s="597" t="inlineStr">
        <is>
          <t xml:space="preserve">투입</t>
        </is>
      </c>
      <c r="G22" s="597" t="inlineStr">
        <is>
          <t xml:space="preserve">단위시간(분)</t>
        </is>
      </c>
      <c r="H22" s="597" t="inlineStr">
        <is>
          <t xml:space="preserve">수량</t>
        </is>
      </c>
      <c r="I22" s="597" t="inlineStr">
        <is>
          <t xml:space="preserve">단위</t>
        </is>
      </c>
      <c r="J22" s="597" t="inlineStr">
        <is>
          <t xml:space="preserve">빈도</t>
        </is>
      </c>
      <c r="K22" s="597" t="inlineStr">
        <is>
          <t xml:space="preserve">주기</t>
        </is>
      </c>
      <c r="L22" s="597" t="inlineStr">
        <is>
          <t xml:space="preserve">월 횟수</t>
        </is>
      </c>
      <c r="M22" s="597" t="inlineStr">
        <is>
          <t xml:space="preserve">월 업무시간(h)</t>
        </is>
      </c>
      <c r="N22" s="597" t="inlineStr">
        <is>
          <t xml:space="preserve">연 업무시간(h)</t>
        </is>
      </c>
      <c r="O22" s="597" t="inlineStr">
        <is>
          <t xml:space="preserve">시간 비중</t>
        </is>
      </c>
      <c r="P22" s="597" t="inlineStr">
        <is>
          <t xml:space="preserve">시간당 단가</t>
        </is>
      </c>
      <c r="Q22" s="597" t="inlineStr">
        <is>
          <t xml:space="preserve">직접노무비</t>
        </is>
      </c>
      <c r="R22" s="597" t="inlineStr">
        <is>
          <t xml:space="preserve">간접노무비</t>
        </is>
      </c>
      <c r="S22" s="597" t="inlineStr">
        <is>
          <t xml:space="preserve">경비</t>
        </is>
      </c>
      <c r="T22" s="597" t="inlineStr">
        <is>
          <t xml:space="preserve">일반관리비</t>
        </is>
      </c>
      <c r="U22" s="597" t="inlineStr">
        <is>
          <t xml:space="preserve">이윤·단수</t>
        </is>
      </c>
      <c r="V22" s="597" t="inlineStr">
        <is>
          <t xml:space="preserve">월 배분액</t>
        </is>
      </c>
      <c r="W22" s="597" t="inlineStr">
        <is>
          <t xml:space="preserve">연 배분액</t>
        </is>
      </c>
      <c r="X22" s="597" t="inlineStr">
        <is>
          <t xml:space="preserve">단위당 단가</t>
        </is>
      </c>
    </row>
    <row r="23">
      <c r="A23" s="592" t="inlineStr">
        <is>
          <t xml:space="preserve">A</t>
        </is>
      </c>
      <c r="B23" s="592" t="inlineStr">
        <is>
          <t xml:space="preserve">출입통제</t>
        </is>
      </c>
      <c r="C23" s="592" t="inlineStr">
        <is>
          <t xml:space="preserve"/>
        </is>
      </c>
      <c r="D23" s="592" t="inlineStr">
        <is>
          <t xml:space="preserve"/>
        </is>
      </c>
      <c r="E23" s="592" t="inlineStr">
        <is>
          <t xml:space="preserve">19개 업무</t>
        </is>
      </c>
      <c r="F23" s="592" t="inlineStr">
        <is>
          <t xml:space="preserve"/>
        </is>
      </c>
      <c r="G23" s="592"/>
      <c r="H23" s="592"/>
      <c r="I23" s="592"/>
      <c r="J23" s="592"/>
      <c r="K23" s="592"/>
      <c r="L23" s="592"/>
      <c r="M23" s="599">
        <v>1009.0451</v>
      </c>
      <c r="N23" s="599">
        <v>12108.5417</v>
      </c>
      <c r="O23" s="602">
        <v>0.5758</v>
      </c>
      <c r="P23" s="593">
        <v>19745.6152</v>
      </c>
      <c r="Q23" s="593">
        <v>15809596</v>
      </c>
      <c r="R23" s="593">
        <v>2034558</v>
      </c>
      <c r="S23" s="593">
        <v>774467</v>
      </c>
      <c r="T23" s="593">
        <v>930955</v>
      </c>
      <c r="U23" s="593">
        <v>374641</v>
      </c>
      <c r="V23" s="593">
        <f>SUM(Q23:U23)</f>
        <v>19924217</v>
      </c>
      <c r="W23" s="593">
        <f>V23*12</f>
        <v>239090604</v>
      </c>
      <c r="X23" s="592"/>
      <c r="Z23">
        <v>0</v>
      </c>
    </row>
    <row r="24">
      <c r="A24" s="592" t="inlineStr">
        <is>
          <t xml:space="preserve">A1</t>
        </is>
      </c>
      <c r="B24" s="592" t="inlineStr">
        <is>
          <t xml:space="preserve">출입통제</t>
        </is>
      </c>
      <c r="C24" s="592" t="inlineStr">
        <is>
          <t xml:space="preserve">정문 초소</t>
        </is>
      </c>
      <c r="D24" s="592" t="inlineStr">
        <is>
          <t xml:space="preserve"/>
        </is>
      </c>
      <c r="E24" s="592" t="inlineStr">
        <is>
          <t xml:space="preserve">13개 업무</t>
        </is>
      </c>
      <c r="F24" s="592" t="inlineStr">
        <is>
          <t xml:space="preserve"/>
        </is>
      </c>
      <c r="G24" s="592"/>
      <c r="H24" s="592"/>
      <c r="I24" s="592"/>
      <c r="J24" s="592"/>
      <c r="K24" s="592"/>
      <c r="L24" s="592"/>
      <c r="M24" s="599">
        <v>729.6</v>
      </c>
      <c r="N24" s="599">
        <v>8755.2</v>
      </c>
      <c r="O24" s="602">
        <v>0.4163</v>
      </c>
      <c r="P24" s="593">
        <v>19745.6127</v>
      </c>
      <c r="Q24" s="593">
        <v>11431283</v>
      </c>
      <c r="R24" s="593">
        <v>1471108</v>
      </c>
      <c r="S24" s="593">
        <v>559986</v>
      </c>
      <c r="T24" s="593">
        <v>673135</v>
      </c>
      <c r="U24" s="593">
        <v>270887</v>
      </c>
      <c r="V24" s="593">
        <f>SUM(Q24:U24)</f>
        <v>14406399</v>
      </c>
      <c r="W24" s="593">
        <f>V24*12</f>
        <v>172876788</v>
      </c>
      <c r="X24" s="592"/>
      <c r="Z24">
        <v>0</v>
      </c>
    </row>
    <row r="25">
      <c r="A25" s="589" t="inlineStr">
        <is>
          <t xml:space="preserve">A1-1</t>
        </is>
      </c>
      <c r="B25" s="589" t="inlineStr">
        <is>
          <t xml:space="preserve">출입통제</t>
        </is>
      </c>
      <c r="C25" s="589" t="inlineStr">
        <is>
          <t xml:space="preserve">정문 초소</t>
        </is>
      </c>
      <c r="D25" s="589" t="inlineStr">
        <is>
          <t xml:space="preserve">정문 상주 근무 (24시간 경계·대기)</t>
        </is>
      </c>
      <c r="E25" s="589" t="inlineStr">
        <is>
          <t xml:space="preserve">상주(잔여)</t>
        </is>
      </c>
      <c r="F25" s="589" t="inlineStr">
        <is>
          <t xml:space="preserve">공통</t>
        </is>
      </c>
      <c r="G25" s="598">
        <v>1440</v>
      </c>
      <c r="H25" s="590">
        <v>1</v>
      </c>
      <c r="I25" s="589" t="inlineStr">
        <is>
          <t xml:space="preserve">개소</t>
        </is>
      </c>
      <c r="J25" s="598">
        <v>1</v>
      </c>
      <c r="K25" s="589" t="inlineStr">
        <is>
          <t xml:space="preserve">매일</t>
        </is>
      </c>
      <c r="L25" s="598">
        <v>30.4</v>
      </c>
      <c r="M25" s="598">
        <v>427.7787</v>
      </c>
      <c r="N25" s="598">
        <v>5133.344</v>
      </c>
      <c r="O25" s="601">
        <v>0.2441</v>
      </c>
      <c r="P25" s="590">
        <v>19745.6153</v>
      </c>
      <c r="Q25" s="590">
        <v>6702384</v>
      </c>
      <c r="R25" s="590">
        <v>862538</v>
      </c>
      <c r="S25" s="590">
        <v>328331</v>
      </c>
      <c r="T25" s="590">
        <v>394673</v>
      </c>
      <c r="U25" s="590">
        <v>158827</v>
      </c>
      <c r="V25" s="590">
        <f>SUM(Q25:U25)</f>
        <v>8446753</v>
      </c>
      <c r="W25" s="590">
        <f>V25*12</f>
        <v>101361036</v>
      </c>
      <c r="X25" s="590">
        <v>277853.7171</v>
      </c>
      <c r="Z25">
        <v>1</v>
      </c>
    </row>
    <row r="26">
      <c r="A26" s="589" t="inlineStr">
        <is>
          <t xml:space="preserve">A1-2-a</t>
        </is>
      </c>
      <c r="B26" s="589" t="inlineStr">
        <is>
          <t xml:space="preserve">출입통제</t>
        </is>
      </c>
      <c r="C26" s="589" t="inlineStr">
        <is>
          <t xml:space="preserve">정문 초소</t>
        </is>
      </c>
      <c r="D26" s="589" t="inlineStr">
        <is>
          <t xml:space="preserve">입문 차량 확인·출입 기록</t>
        </is>
      </c>
      <c r="E26" s="589" t="inlineStr">
        <is>
          <t xml:space="preserve">작업</t>
        </is>
      </c>
      <c r="F26" s="589" t="inlineStr">
        <is>
          <t xml:space="preserve">공통</t>
        </is>
      </c>
      <c r="G26" s="598">
        <v>0.5</v>
      </c>
      <c r="H26" s="590">
        <v>108</v>
      </c>
      <c r="I26" s="589" t="inlineStr">
        <is>
          <t xml:space="preserve">대</t>
        </is>
      </c>
      <c r="J26" s="598">
        <v>1</v>
      </c>
      <c r="K26" s="589" t="inlineStr">
        <is>
          <t xml:space="preserve">매일</t>
        </is>
      </c>
      <c r="L26" s="598">
        <v>3283.2</v>
      </c>
      <c r="M26" s="598">
        <v>31.464</v>
      </c>
      <c r="N26" s="598">
        <v>377.568</v>
      </c>
      <c r="O26" s="601">
        <v>0.018</v>
      </c>
      <c r="P26" s="590">
        <v>19745.6458</v>
      </c>
      <c r="Q26" s="590">
        <v>492974</v>
      </c>
      <c r="R26" s="590">
        <v>63442</v>
      </c>
      <c r="S26" s="590">
        <v>24150</v>
      </c>
      <c r="T26" s="590">
        <v>29029</v>
      </c>
      <c r="U26" s="590">
        <v>11682</v>
      </c>
      <c r="V26" s="590">
        <f>SUM(Q26:U26)</f>
        <v>621277</v>
      </c>
      <c r="W26" s="590">
        <f>V26*12</f>
        <v>7455324</v>
      </c>
      <c r="X26" s="590">
        <v>189.2291</v>
      </c>
      <c r="Z26">
        <v>1</v>
      </c>
    </row>
    <row r="27">
      <c r="A27" s="589" t="inlineStr">
        <is>
          <t xml:space="preserve">A1-2-b</t>
        </is>
      </c>
      <c r="B27" s="589" t="inlineStr">
        <is>
          <t xml:space="preserve">출입통제</t>
        </is>
      </c>
      <c r="C27" s="589" t="inlineStr">
        <is>
          <t xml:space="preserve">정문 초소</t>
        </is>
      </c>
      <c r="D27" s="589" t="inlineStr">
        <is>
          <t xml:space="preserve">출문 차량 적재물 확인</t>
        </is>
      </c>
      <c r="E27" s="589" t="inlineStr">
        <is>
          <t xml:space="preserve">작업</t>
        </is>
      </c>
      <c r="F27" s="589" t="inlineStr">
        <is>
          <t xml:space="preserve">공통</t>
        </is>
      </c>
      <c r="G27" s="598">
        <v>1</v>
      </c>
      <c r="H27" s="590">
        <v>54</v>
      </c>
      <c r="I27" s="589" t="inlineStr">
        <is>
          <t xml:space="preserve">대</t>
        </is>
      </c>
      <c r="J27" s="598">
        <v>1</v>
      </c>
      <c r="K27" s="589" t="inlineStr">
        <is>
          <t xml:space="preserve">매일</t>
        </is>
      </c>
      <c r="L27" s="598">
        <v>1641.6</v>
      </c>
      <c r="M27" s="598">
        <v>31.464</v>
      </c>
      <c r="N27" s="598">
        <v>377.568</v>
      </c>
      <c r="O27" s="601">
        <v>0.018</v>
      </c>
      <c r="P27" s="590">
        <v>19745.614</v>
      </c>
      <c r="Q27" s="590">
        <v>492974</v>
      </c>
      <c r="R27" s="590">
        <v>63442</v>
      </c>
      <c r="S27" s="590">
        <v>24149</v>
      </c>
      <c r="T27" s="590">
        <v>29029</v>
      </c>
      <c r="U27" s="590">
        <v>11682</v>
      </c>
      <c r="V27" s="590">
        <f>SUM(Q27:U27)</f>
        <v>621276</v>
      </c>
      <c r="W27" s="590">
        <f>V27*12</f>
        <v>7455312</v>
      </c>
      <c r="X27" s="590">
        <v>378.4576</v>
      </c>
      <c r="Z27">
        <v>1</v>
      </c>
    </row>
    <row r="28">
      <c r="A28" s="589" t="inlineStr">
        <is>
          <t xml:space="preserve">A1-2-c</t>
        </is>
      </c>
      <c r="B28" s="589" t="inlineStr">
        <is>
          <t xml:space="preserve">출입통제</t>
        </is>
      </c>
      <c r="C28" s="589" t="inlineStr">
        <is>
          <t xml:space="preserve">정문 초소</t>
        </is>
      </c>
      <c r="D28" s="589" t="inlineStr">
        <is>
          <t xml:space="preserve">협력업체·납품차량 출입 통제</t>
        </is>
      </c>
      <c r="E28" s="589" t="inlineStr">
        <is>
          <t xml:space="preserve">작업</t>
        </is>
      </c>
      <c r="F28" s="589" t="inlineStr">
        <is>
          <t xml:space="preserve">공통</t>
        </is>
      </c>
      <c r="G28" s="598">
        <v>3</v>
      </c>
      <c r="H28" s="590">
        <v>18</v>
      </c>
      <c r="I28" s="589" t="inlineStr">
        <is>
          <t xml:space="preserve">대</t>
        </is>
      </c>
      <c r="J28" s="598">
        <v>1</v>
      </c>
      <c r="K28" s="589" t="inlineStr">
        <is>
          <t xml:space="preserve">매일</t>
        </is>
      </c>
      <c r="L28" s="598">
        <v>547.2</v>
      </c>
      <c r="M28" s="598">
        <v>31.464</v>
      </c>
      <c r="N28" s="598">
        <v>377.568</v>
      </c>
      <c r="O28" s="601">
        <v>0.018</v>
      </c>
      <c r="P28" s="590">
        <v>19745.614</v>
      </c>
      <c r="Q28" s="590">
        <v>492974</v>
      </c>
      <c r="R28" s="590">
        <v>63442</v>
      </c>
      <c r="S28" s="590">
        <v>24149</v>
      </c>
      <c r="T28" s="590">
        <v>29029</v>
      </c>
      <c r="U28" s="590">
        <v>11682</v>
      </c>
      <c r="V28" s="590">
        <f>SUM(Q28:U28)</f>
        <v>621276</v>
      </c>
      <c r="W28" s="590">
        <f>V28*12</f>
        <v>7455312</v>
      </c>
      <c r="X28" s="590">
        <v>1135.3728</v>
      </c>
      <c r="Z28">
        <v>1</v>
      </c>
    </row>
    <row r="29">
      <c r="A29" s="589" t="inlineStr">
        <is>
          <t xml:space="preserve">A1-2-d</t>
        </is>
      </c>
      <c r="B29" s="589" t="inlineStr">
        <is>
          <t xml:space="preserve">출입통제</t>
        </is>
      </c>
      <c r="C29" s="589" t="inlineStr">
        <is>
          <t xml:space="preserve">정문 초소</t>
        </is>
      </c>
      <c r="D29" s="589" t="inlineStr">
        <is>
          <t xml:space="preserve">긴급·관공서 차량 우선 통행 안내</t>
        </is>
      </c>
      <c r="E29" s="589" t="inlineStr">
        <is>
          <t xml:space="preserve">작업</t>
        </is>
      </c>
      <c r="F29" s="589" t="inlineStr">
        <is>
          <t xml:space="preserve">공통</t>
        </is>
      </c>
      <c r="G29" s="598">
        <v>3</v>
      </c>
      <c r="H29" s="590">
        <v>2</v>
      </c>
      <c r="I29" s="589" t="inlineStr">
        <is>
          <t xml:space="preserve">대</t>
        </is>
      </c>
      <c r="J29" s="598">
        <v>1</v>
      </c>
      <c r="K29" s="589" t="inlineStr">
        <is>
          <t xml:space="preserve">매일</t>
        </is>
      </c>
      <c r="L29" s="598">
        <v>60.8</v>
      </c>
      <c r="M29" s="598">
        <v>3.496</v>
      </c>
      <c r="N29" s="598">
        <v>41.952</v>
      </c>
      <c r="O29" s="601">
        <v>0.002</v>
      </c>
      <c r="P29" s="590">
        <v>19745.4233</v>
      </c>
      <c r="Q29" s="590">
        <v>54775</v>
      </c>
      <c r="R29" s="590">
        <v>7049</v>
      </c>
      <c r="S29" s="590">
        <v>2683</v>
      </c>
      <c r="T29" s="590">
        <v>3225</v>
      </c>
      <c r="U29" s="590">
        <v>1298</v>
      </c>
      <c r="V29" s="590">
        <f>SUM(Q29:U29)</f>
        <v>69030</v>
      </c>
      <c r="W29" s="590">
        <f>V29*12</f>
        <v>828360</v>
      </c>
      <c r="X29" s="590">
        <v>1135.3618</v>
      </c>
      <c r="Z29">
        <v>1</v>
      </c>
    </row>
    <row r="30">
      <c r="A30" s="589" t="inlineStr">
        <is>
          <t xml:space="preserve">A1-3-a</t>
        </is>
      </c>
      <c r="B30" s="589" t="inlineStr">
        <is>
          <t xml:space="preserve">출입통제</t>
        </is>
      </c>
      <c r="C30" s="589" t="inlineStr">
        <is>
          <t xml:space="preserve">정문 초소</t>
        </is>
      </c>
      <c r="D30" s="589" t="inlineStr">
        <is>
          <t xml:space="preserve">방문객 신원확인·출입증 발급</t>
        </is>
      </c>
      <c r="E30" s="589" t="inlineStr">
        <is>
          <t xml:space="preserve">작업</t>
        </is>
      </c>
      <c r="F30" s="589" t="inlineStr">
        <is>
          <t xml:space="preserve">공통</t>
        </is>
      </c>
      <c r="G30" s="598">
        <v>2</v>
      </c>
      <c r="H30" s="590">
        <v>60</v>
      </c>
      <c r="I30" s="589" t="inlineStr">
        <is>
          <t xml:space="preserve">명</t>
        </is>
      </c>
      <c r="J30" s="598">
        <v>1</v>
      </c>
      <c r="K30" s="589" t="inlineStr">
        <is>
          <t xml:space="preserve">매일</t>
        </is>
      </c>
      <c r="L30" s="598">
        <v>1824</v>
      </c>
      <c r="M30" s="598">
        <v>69.92</v>
      </c>
      <c r="N30" s="598">
        <v>839.04</v>
      </c>
      <c r="O30" s="601">
        <v>0.0399</v>
      </c>
      <c r="P30" s="590">
        <v>19745.6093</v>
      </c>
      <c r="Q30" s="590">
        <v>1095498</v>
      </c>
      <c r="R30" s="590">
        <v>140981</v>
      </c>
      <c r="S30" s="590">
        <v>53665</v>
      </c>
      <c r="T30" s="590">
        <v>64509</v>
      </c>
      <c r="U30" s="590">
        <v>25960</v>
      </c>
      <c r="V30" s="590">
        <f>SUM(Q30:U30)</f>
        <v>1380613</v>
      </c>
      <c r="W30" s="590">
        <f>V30*12</f>
        <v>16567356</v>
      </c>
      <c r="X30" s="590">
        <v>756.915</v>
      </c>
      <c r="Z30">
        <v>1</v>
      </c>
    </row>
    <row r="31">
      <c r="A31" s="589" t="inlineStr">
        <is>
          <t xml:space="preserve">A1-3-b</t>
        </is>
      </c>
      <c r="B31" s="589" t="inlineStr">
        <is>
          <t xml:space="preserve">출입통제</t>
        </is>
      </c>
      <c r="C31" s="589" t="inlineStr">
        <is>
          <t xml:space="preserve">정문 초소</t>
        </is>
      </c>
      <c r="D31" s="589" t="inlineStr">
        <is>
          <t xml:space="preserve">출입증 회수·방문 대장 정리</t>
        </is>
      </c>
      <c r="E31" s="589" t="inlineStr">
        <is>
          <t xml:space="preserve">작업</t>
        </is>
      </c>
      <c r="F31" s="589" t="inlineStr">
        <is>
          <t xml:space="preserve">공통</t>
        </is>
      </c>
      <c r="G31" s="598">
        <v>0.5</v>
      </c>
      <c r="H31" s="590">
        <v>60</v>
      </c>
      <c r="I31" s="589" t="inlineStr">
        <is>
          <t xml:space="preserve">명</t>
        </is>
      </c>
      <c r="J31" s="598">
        <v>1</v>
      </c>
      <c r="K31" s="589" t="inlineStr">
        <is>
          <t xml:space="preserve">매일</t>
        </is>
      </c>
      <c r="L31" s="598">
        <v>1824</v>
      </c>
      <c r="M31" s="598">
        <v>17.48</v>
      </c>
      <c r="N31" s="598">
        <v>209.76</v>
      </c>
      <c r="O31" s="601">
        <v>0.01</v>
      </c>
      <c r="P31" s="590">
        <v>19745.5378</v>
      </c>
      <c r="Q31" s="590">
        <v>273874</v>
      </c>
      <c r="R31" s="590">
        <v>35245</v>
      </c>
      <c r="S31" s="590">
        <v>13416</v>
      </c>
      <c r="T31" s="590">
        <v>16127</v>
      </c>
      <c r="U31" s="590">
        <v>6490</v>
      </c>
      <c r="V31" s="590">
        <f>SUM(Q31:U31)</f>
        <v>345152</v>
      </c>
      <c r="W31" s="590">
        <f>V31*12</f>
        <v>4141824</v>
      </c>
      <c r="X31" s="590">
        <v>189.2281</v>
      </c>
      <c r="Z31">
        <v>1</v>
      </c>
    </row>
    <row r="32">
      <c r="A32" s="589" t="inlineStr">
        <is>
          <t xml:space="preserve">A1-3-c</t>
        </is>
      </c>
      <c r="B32" s="589" t="inlineStr">
        <is>
          <t xml:space="preserve">출입통제</t>
        </is>
      </c>
      <c r="C32" s="589" t="inlineStr">
        <is>
          <t xml:space="preserve">정문 초소</t>
        </is>
      </c>
      <c r="D32" s="589" t="inlineStr">
        <is>
          <t xml:space="preserve">사전 방문예약 확인·접견자 연락</t>
        </is>
      </c>
      <c r="E32" s="589" t="inlineStr">
        <is>
          <t xml:space="preserve">작업</t>
        </is>
      </c>
      <c r="F32" s="589" t="inlineStr">
        <is>
          <t xml:space="preserve">공통</t>
        </is>
      </c>
      <c r="G32" s="598">
        <v>1</v>
      </c>
      <c r="H32" s="590">
        <v>24</v>
      </c>
      <c r="I32" s="589" t="inlineStr">
        <is>
          <t xml:space="preserve">건</t>
        </is>
      </c>
      <c r="J32" s="598">
        <v>1</v>
      </c>
      <c r="K32" s="589" t="inlineStr">
        <is>
          <t xml:space="preserve">매일</t>
        </is>
      </c>
      <c r="L32" s="598">
        <v>729.6</v>
      </c>
      <c r="M32" s="598">
        <v>13.984</v>
      </c>
      <c r="N32" s="598">
        <v>167.808</v>
      </c>
      <c r="O32" s="601">
        <v>0.008</v>
      </c>
      <c r="P32" s="590">
        <v>19745.6379</v>
      </c>
      <c r="Q32" s="590">
        <v>219100</v>
      </c>
      <c r="R32" s="590">
        <v>28196</v>
      </c>
      <c r="S32" s="590">
        <v>10733</v>
      </c>
      <c r="T32" s="590">
        <v>12902</v>
      </c>
      <c r="U32" s="590">
        <v>5192</v>
      </c>
      <c r="V32" s="590">
        <f>SUM(Q32:U32)</f>
        <v>276123</v>
      </c>
      <c r="W32" s="590">
        <f>V32*12</f>
        <v>3313476</v>
      </c>
      <c r="X32" s="590">
        <v>378.4581</v>
      </c>
      <c r="Z32">
        <v>1</v>
      </c>
    </row>
    <row r="33">
      <c r="A33" s="589" t="inlineStr">
        <is>
          <t xml:space="preserve">A1-4-a</t>
        </is>
      </c>
      <c r="B33" s="589" t="inlineStr">
        <is>
          <t xml:space="preserve">출입통제</t>
        </is>
      </c>
      <c r="C33" s="589" t="inlineStr">
        <is>
          <t xml:space="preserve">정문 초소</t>
        </is>
      </c>
      <c r="D33" s="589" t="inlineStr">
        <is>
          <t xml:space="preserve">반출입증 확인·물품 대조</t>
        </is>
      </c>
      <c r="E33" s="589" t="inlineStr">
        <is>
          <t xml:space="preserve">작업</t>
        </is>
      </c>
      <c r="F33" s="589" t="inlineStr">
        <is>
          <t xml:space="preserve">공통</t>
        </is>
      </c>
      <c r="G33" s="598">
        <v>3</v>
      </c>
      <c r="H33" s="590">
        <v>14</v>
      </c>
      <c r="I33" s="589" t="inlineStr">
        <is>
          <t xml:space="preserve">건</t>
        </is>
      </c>
      <c r="J33" s="598">
        <v>1</v>
      </c>
      <c r="K33" s="589" t="inlineStr">
        <is>
          <t xml:space="preserve">매일</t>
        </is>
      </c>
      <c r="L33" s="598">
        <v>425.6</v>
      </c>
      <c r="M33" s="598">
        <v>24.472</v>
      </c>
      <c r="N33" s="598">
        <v>293.664</v>
      </c>
      <c r="O33" s="601">
        <v>0.014</v>
      </c>
      <c r="P33" s="590">
        <v>19745.5868</v>
      </c>
      <c r="Q33" s="590">
        <v>383424</v>
      </c>
      <c r="R33" s="590">
        <v>49343</v>
      </c>
      <c r="S33" s="590">
        <v>18783</v>
      </c>
      <c r="T33" s="590">
        <v>22578</v>
      </c>
      <c r="U33" s="590">
        <v>9086</v>
      </c>
      <c r="V33" s="590">
        <f>SUM(Q33:U33)</f>
        <v>483214</v>
      </c>
      <c r="W33" s="590">
        <f>V33*12</f>
        <v>5798568</v>
      </c>
      <c r="X33" s="590">
        <v>1135.3712</v>
      </c>
      <c r="Z33">
        <v>1</v>
      </c>
    </row>
    <row r="34">
      <c r="A34" s="589" t="inlineStr">
        <is>
          <t xml:space="preserve">A1-4-b</t>
        </is>
      </c>
      <c r="B34" s="589" t="inlineStr">
        <is>
          <t xml:space="preserve">출입통제</t>
        </is>
      </c>
      <c r="C34" s="589" t="inlineStr">
        <is>
          <t xml:space="preserve">정문 초소</t>
        </is>
      </c>
      <c r="D34" s="589" t="inlineStr">
        <is>
          <t xml:space="preserve">반입 금지물품(화기·위험물) 검색</t>
        </is>
      </c>
      <c r="E34" s="589" t="inlineStr">
        <is>
          <t xml:space="preserve">작업</t>
        </is>
      </c>
      <c r="F34" s="589" t="inlineStr">
        <is>
          <t xml:space="preserve">공통</t>
        </is>
      </c>
      <c r="G34" s="598">
        <v>1</v>
      </c>
      <c r="H34" s="590">
        <v>60</v>
      </c>
      <c r="I34" s="589" t="inlineStr">
        <is>
          <t xml:space="preserve">명</t>
        </is>
      </c>
      <c r="J34" s="598">
        <v>1</v>
      </c>
      <c r="K34" s="589" t="inlineStr">
        <is>
          <t xml:space="preserve">매일</t>
        </is>
      </c>
      <c r="L34" s="598">
        <v>1824</v>
      </c>
      <c r="M34" s="598">
        <v>34.96</v>
      </c>
      <c r="N34" s="598">
        <v>419.52</v>
      </c>
      <c r="O34" s="601">
        <v>0.0199</v>
      </c>
      <c r="P34" s="590">
        <v>19745.6236</v>
      </c>
      <c r="Q34" s="590">
        <v>547749</v>
      </c>
      <c r="R34" s="590">
        <v>70491</v>
      </c>
      <c r="S34" s="590">
        <v>26833</v>
      </c>
      <c r="T34" s="590">
        <v>32254</v>
      </c>
      <c r="U34" s="590">
        <v>12980</v>
      </c>
      <c r="V34" s="590">
        <f>SUM(Q34:U34)</f>
        <v>690307</v>
      </c>
      <c r="W34" s="590">
        <f>V34*12</f>
        <v>8283684</v>
      </c>
      <c r="X34" s="590">
        <v>378.4578</v>
      </c>
      <c r="Z34">
        <v>1</v>
      </c>
    </row>
    <row r="35">
      <c r="A35" s="589" t="inlineStr">
        <is>
          <t xml:space="preserve">A1-5-a</t>
        </is>
      </c>
      <c r="B35" s="589" t="inlineStr">
        <is>
          <t xml:space="preserve">출입통제</t>
        </is>
      </c>
      <c r="C35" s="589" t="inlineStr">
        <is>
          <t xml:space="preserve">정문 초소</t>
        </is>
      </c>
      <c r="D35" s="589" t="inlineStr">
        <is>
          <t xml:space="preserve">택배 수령·보관 등록</t>
        </is>
      </c>
      <c r="E35" s="589" t="inlineStr">
        <is>
          <t xml:space="preserve">작업</t>
        </is>
      </c>
      <c r="F35" s="589" t="inlineStr">
        <is>
          <t xml:space="preserve">공통</t>
        </is>
      </c>
      <c r="G35" s="598">
        <v>1</v>
      </c>
      <c r="H35" s="590">
        <v>40</v>
      </c>
      <c r="I35" s="589" t="inlineStr">
        <is>
          <t xml:space="preserve">건</t>
        </is>
      </c>
      <c r="J35" s="598">
        <v>1</v>
      </c>
      <c r="K35" s="589" t="inlineStr">
        <is>
          <t xml:space="preserve">매일</t>
        </is>
      </c>
      <c r="L35" s="598">
        <v>1216</v>
      </c>
      <c r="M35" s="598">
        <v>23.3067</v>
      </c>
      <c r="N35" s="598">
        <v>279.68</v>
      </c>
      <c r="O35" s="601">
        <v>0.0133</v>
      </c>
      <c r="P35" s="590">
        <v>19745.6379</v>
      </c>
      <c r="Q35" s="590">
        <v>365166</v>
      </c>
      <c r="R35" s="590">
        <v>46994</v>
      </c>
      <c r="S35" s="590">
        <v>17889</v>
      </c>
      <c r="T35" s="590">
        <v>21503</v>
      </c>
      <c r="U35" s="590">
        <v>8653</v>
      </c>
      <c r="V35" s="590">
        <f>SUM(Q35:U35)</f>
        <v>460205</v>
      </c>
      <c r="W35" s="590">
        <f>V35*12</f>
        <v>5522460</v>
      </c>
      <c r="X35" s="590">
        <v>378.4581</v>
      </c>
      <c r="Z35">
        <v>1</v>
      </c>
    </row>
    <row r="36">
      <c r="A36" s="589" t="inlineStr">
        <is>
          <t xml:space="preserve">A1-5-b</t>
        </is>
      </c>
      <c r="B36" s="589" t="inlineStr">
        <is>
          <t xml:space="preserve">출입통제</t>
        </is>
      </c>
      <c r="C36" s="589" t="inlineStr">
        <is>
          <t xml:space="preserve">정문 초소</t>
        </is>
      </c>
      <c r="D36" s="589" t="inlineStr">
        <is>
          <t xml:space="preserve">수령자 연락·인계 확인</t>
        </is>
      </c>
      <c r="E36" s="589" t="inlineStr">
        <is>
          <t xml:space="preserve">작업</t>
        </is>
      </c>
      <c r="F36" s="589" t="inlineStr">
        <is>
          <t xml:space="preserve">공통</t>
        </is>
      </c>
      <c r="G36" s="598">
        <v>0.7</v>
      </c>
      <c r="H36" s="590">
        <v>40</v>
      </c>
      <c r="I36" s="589" t="inlineStr">
        <is>
          <t xml:space="preserve">건</t>
        </is>
      </c>
      <c r="J36" s="598">
        <v>1</v>
      </c>
      <c r="K36" s="589" t="inlineStr">
        <is>
          <t xml:space="preserve">매일</t>
        </is>
      </c>
      <c r="L36" s="598">
        <v>1216</v>
      </c>
      <c r="M36" s="598">
        <v>16.3147</v>
      </c>
      <c r="N36" s="598">
        <v>195.776</v>
      </c>
      <c r="O36" s="601">
        <v>0.0093</v>
      </c>
      <c r="P36" s="590">
        <v>19745.6072</v>
      </c>
      <c r="Q36" s="590">
        <v>255616</v>
      </c>
      <c r="R36" s="590">
        <v>32896</v>
      </c>
      <c r="S36" s="590">
        <v>12522</v>
      </c>
      <c r="T36" s="590">
        <v>15052</v>
      </c>
      <c r="U36" s="590">
        <v>6057</v>
      </c>
      <c r="V36" s="590">
        <f>SUM(Q36:U36)</f>
        <v>322143</v>
      </c>
      <c r="W36" s="590">
        <f>V36*12</f>
        <v>3865716</v>
      </c>
      <c r="X36" s="590">
        <v>264.9202</v>
      </c>
      <c r="Z36">
        <v>1</v>
      </c>
    </row>
    <row r="37">
      <c r="A37" s="589" t="inlineStr">
        <is>
          <t xml:space="preserve">A1-5-c</t>
        </is>
      </c>
      <c r="B37" s="589" t="inlineStr">
        <is>
          <t xml:space="preserve">출입통제</t>
        </is>
      </c>
      <c r="C37" s="589" t="inlineStr">
        <is>
          <t xml:space="preserve">정문 초소</t>
        </is>
      </c>
      <c r="D37" s="589" t="inlineStr">
        <is>
          <t xml:space="preserve">등기·우편물 분류</t>
        </is>
      </c>
      <c r="E37" s="589" t="inlineStr">
        <is>
          <t xml:space="preserve">작업</t>
        </is>
      </c>
      <c r="F37" s="589" t="inlineStr">
        <is>
          <t xml:space="preserve">공통</t>
        </is>
      </c>
      <c r="G37" s="598">
        <v>0.5</v>
      </c>
      <c r="H37" s="590">
        <v>12</v>
      </c>
      <c r="I37" s="589" t="inlineStr">
        <is>
          <t xml:space="preserve">건</t>
        </is>
      </c>
      <c r="J37" s="598">
        <v>1</v>
      </c>
      <c r="K37" s="589" t="inlineStr">
        <is>
          <t xml:space="preserve">매일</t>
        </is>
      </c>
      <c r="L37" s="598">
        <v>364.8</v>
      </c>
      <c r="M37" s="598">
        <v>3.496</v>
      </c>
      <c r="N37" s="598">
        <v>41.952</v>
      </c>
      <c r="O37" s="601">
        <v>0.002</v>
      </c>
      <c r="P37" s="590">
        <v>19745.4233</v>
      </c>
      <c r="Q37" s="590">
        <v>54775</v>
      </c>
      <c r="R37" s="590">
        <v>7049</v>
      </c>
      <c r="S37" s="590">
        <v>2683</v>
      </c>
      <c r="T37" s="590">
        <v>3225</v>
      </c>
      <c r="U37" s="590">
        <v>1298</v>
      </c>
      <c r="V37" s="590">
        <f>SUM(Q37:U37)</f>
        <v>69030</v>
      </c>
      <c r="W37" s="590">
        <f>V37*12</f>
        <v>828360</v>
      </c>
      <c r="X37" s="590">
        <v>189.227</v>
      </c>
      <c r="Z37">
        <v>1</v>
      </c>
    </row>
    <row r="38">
      <c r="A38" s="592" t="inlineStr">
        <is>
          <t xml:space="preserve">A2</t>
        </is>
      </c>
      <c r="B38" s="592" t="inlineStr">
        <is>
          <t xml:space="preserve">출입통제</t>
        </is>
      </c>
      <c r="C38" s="592" t="inlineStr">
        <is>
          <t xml:space="preserve">후문·부출입구</t>
        </is>
      </c>
      <c r="D38" s="592" t="inlineStr">
        <is>
          <t xml:space="preserve"/>
        </is>
      </c>
      <c r="E38" s="592" t="inlineStr">
        <is>
          <t xml:space="preserve">3개 업무</t>
        </is>
      </c>
      <c r="F38" s="592" t="inlineStr">
        <is>
          <t xml:space="preserve"/>
        </is>
      </c>
      <c r="G38" s="592"/>
      <c r="H38" s="592"/>
      <c r="I38" s="592"/>
      <c r="J38" s="592"/>
      <c r="K38" s="592"/>
      <c r="L38" s="592"/>
      <c r="M38" s="599">
        <v>260.7143</v>
      </c>
      <c r="N38" s="599">
        <v>3128.5714</v>
      </c>
      <c r="O38" s="602">
        <v>0.1488</v>
      </c>
      <c r="P38" s="593">
        <v>19745.623</v>
      </c>
      <c r="Q38" s="593">
        <v>4084840</v>
      </c>
      <c r="R38" s="593">
        <v>525683</v>
      </c>
      <c r="S38" s="593">
        <v>200105</v>
      </c>
      <c r="T38" s="593">
        <v>240538</v>
      </c>
      <c r="U38" s="593">
        <v>96800</v>
      </c>
      <c r="V38" s="593">
        <f>SUM(Q38:U38)</f>
        <v>5147966</v>
      </c>
      <c r="W38" s="593">
        <f>V38*12</f>
        <v>61775592</v>
      </c>
      <c r="X38" s="592"/>
      <c r="Z38">
        <v>0</v>
      </c>
    </row>
    <row r="39">
      <c r="A39" s="589" t="inlineStr">
        <is>
          <t xml:space="preserve">A2-1</t>
        </is>
      </c>
      <c r="B39" s="589" t="inlineStr">
        <is>
          <t xml:space="preserve">출입통제</t>
        </is>
      </c>
      <c r="C39" s="589" t="inlineStr">
        <is>
          <t xml:space="preserve">후문·부출입구</t>
        </is>
      </c>
      <c r="D39" s="589" t="inlineStr">
        <is>
          <t xml:space="preserve">후문 주간 상주 (07~19시)</t>
        </is>
      </c>
      <c r="E39" s="589" t="inlineStr">
        <is>
          <t xml:space="preserve">상주(잔여)</t>
        </is>
      </c>
      <c r="F39" s="589" t="inlineStr">
        <is>
          <t xml:space="preserve">공통</t>
        </is>
      </c>
      <c r="G39" s="598">
        <v>720</v>
      </c>
      <c r="H39" s="590">
        <v>1</v>
      </c>
      <c r="I39" s="589" t="inlineStr">
        <is>
          <t xml:space="preserve">개소</t>
        </is>
      </c>
      <c r="J39" s="598">
        <v>5</v>
      </c>
      <c r="K39" s="589" t="inlineStr">
        <is>
          <t xml:space="preserve">매주</t>
        </is>
      </c>
      <c r="L39" s="598">
        <v>21.7262</v>
      </c>
      <c r="M39" s="598">
        <v>224.0758</v>
      </c>
      <c r="N39" s="598">
        <v>2688.91</v>
      </c>
      <c r="O39" s="601">
        <v>0.1279</v>
      </c>
      <c r="P39" s="590">
        <v>19745.6189</v>
      </c>
      <c r="Q39" s="590">
        <v>3510793</v>
      </c>
      <c r="R39" s="590">
        <v>451808</v>
      </c>
      <c r="S39" s="590">
        <v>171984</v>
      </c>
      <c r="T39" s="590">
        <v>206735</v>
      </c>
      <c r="U39" s="590">
        <v>83196</v>
      </c>
      <c r="V39" s="590">
        <f>SUM(Q39:U39)</f>
        <v>4424516</v>
      </c>
      <c r="W39" s="590">
        <f>V39*12</f>
        <v>53094192</v>
      </c>
      <c r="X39" s="590">
        <v>203648.9556</v>
      </c>
      <c r="Z39">
        <v>1</v>
      </c>
    </row>
    <row r="40">
      <c r="A40" s="589" t="inlineStr">
        <is>
          <t xml:space="preserve">A2-2</t>
        </is>
      </c>
      <c r="B40" s="589" t="inlineStr">
        <is>
          <t xml:space="preserve">출입통제</t>
        </is>
      </c>
      <c r="C40" s="589" t="inlineStr">
        <is>
          <t xml:space="preserve">후문·부출입구</t>
        </is>
      </c>
      <c r="D40" s="589" t="inlineStr">
        <is>
          <t xml:space="preserve">출퇴근 시간 출입 통제</t>
        </is>
      </c>
      <c r="E40" s="589" t="inlineStr">
        <is>
          <t xml:space="preserve">작업</t>
        </is>
      </c>
      <c r="F40" s="589" t="inlineStr">
        <is>
          <t xml:space="preserve">공통</t>
        </is>
      </c>
      <c r="G40" s="598">
        <v>30</v>
      </c>
      <c r="H40" s="590">
        <v>1</v>
      </c>
      <c r="I40" s="589" t="inlineStr">
        <is>
          <t xml:space="preserve">개소</t>
        </is>
      </c>
      <c r="J40" s="598">
        <v>10</v>
      </c>
      <c r="K40" s="589" t="inlineStr">
        <is>
          <t xml:space="preserve">매주</t>
        </is>
      </c>
      <c r="L40" s="598">
        <v>43.4524</v>
      </c>
      <c r="M40" s="598">
        <v>24.9851</v>
      </c>
      <c r="N40" s="598">
        <v>299.8214</v>
      </c>
      <c r="O40" s="601">
        <v>0.0143</v>
      </c>
      <c r="P40" s="590">
        <v>19745.6734</v>
      </c>
      <c r="Q40" s="590">
        <v>391464</v>
      </c>
      <c r="R40" s="590">
        <v>50378</v>
      </c>
      <c r="S40" s="590">
        <v>19177</v>
      </c>
      <c r="T40" s="590">
        <v>23052</v>
      </c>
      <c r="U40" s="590">
        <v>9277</v>
      </c>
      <c r="V40" s="590">
        <f>SUM(Q40:U40)</f>
        <v>493348</v>
      </c>
      <c r="W40" s="590">
        <f>V40*12</f>
        <v>5920176</v>
      </c>
      <c r="X40" s="590">
        <v>11353.7622</v>
      </c>
      <c r="Z40">
        <v>1</v>
      </c>
    </row>
    <row r="41">
      <c r="A41" s="589" t="inlineStr">
        <is>
          <t xml:space="preserve">A2-3</t>
        </is>
      </c>
      <c r="B41" s="589" t="inlineStr">
        <is>
          <t xml:space="preserve">출입통제</t>
        </is>
      </c>
      <c r="C41" s="589" t="inlineStr">
        <is>
          <t xml:space="preserve">후문·부출입구</t>
        </is>
      </c>
      <c r="D41" s="589" t="inlineStr">
        <is>
          <t xml:space="preserve">야간 출입문 시건·개방</t>
        </is>
      </c>
      <c r="E41" s="589" t="inlineStr">
        <is>
          <t xml:space="preserve">작업</t>
        </is>
      </c>
      <c r="F41" s="589" t="inlineStr">
        <is>
          <t xml:space="preserve">공통</t>
        </is>
      </c>
      <c r="G41" s="598">
        <v>10</v>
      </c>
      <c r="H41" s="590">
        <v>1</v>
      </c>
      <c r="I41" s="589" t="inlineStr">
        <is>
          <t xml:space="preserve">개소</t>
        </is>
      </c>
      <c r="J41" s="598">
        <v>2</v>
      </c>
      <c r="K41" s="589" t="inlineStr">
        <is>
          <t xml:space="preserve">매일</t>
        </is>
      </c>
      <c r="L41" s="598">
        <v>60.8</v>
      </c>
      <c r="M41" s="598">
        <v>11.6533</v>
      </c>
      <c r="N41" s="598">
        <v>139.84</v>
      </c>
      <c r="O41" s="601">
        <v>0.0066</v>
      </c>
      <c r="P41" s="590">
        <v>19745.595</v>
      </c>
      <c r="Q41" s="590">
        <v>182583</v>
      </c>
      <c r="R41" s="590">
        <v>23497</v>
      </c>
      <c r="S41" s="590">
        <v>8944</v>
      </c>
      <c r="T41" s="590">
        <v>10751</v>
      </c>
      <c r="U41" s="590">
        <v>4327</v>
      </c>
      <c r="V41" s="590">
        <f>SUM(Q41:U41)</f>
        <v>230102</v>
      </c>
      <c r="W41" s="590">
        <f>V41*12</f>
        <v>2761224</v>
      </c>
      <c r="X41" s="590">
        <v>3784.5724</v>
      </c>
      <c r="Z41">
        <v>1</v>
      </c>
    </row>
    <row r="42">
      <c r="A42" s="592" t="inlineStr">
        <is>
          <t xml:space="preserve">A3</t>
        </is>
      </c>
      <c r="B42" s="592" t="inlineStr">
        <is>
          <t xml:space="preserve">출입통제</t>
        </is>
      </c>
      <c r="C42" s="592" t="inlineStr">
        <is>
          <t xml:space="preserve">출입보안시스템</t>
        </is>
      </c>
      <c r="D42" s="592" t="inlineStr">
        <is>
          <t xml:space="preserve"/>
        </is>
      </c>
      <c r="E42" s="592" t="inlineStr">
        <is>
          <t xml:space="preserve">3개 업무</t>
        </is>
      </c>
      <c r="F42" s="592" t="inlineStr">
        <is>
          <t xml:space="preserve"/>
        </is>
      </c>
      <c r="G42" s="592"/>
      <c r="H42" s="592"/>
      <c r="I42" s="592"/>
      <c r="J42" s="592"/>
      <c r="K42" s="592"/>
      <c r="L42" s="592"/>
      <c r="M42" s="599">
        <v>18.7309</v>
      </c>
      <c r="N42" s="599">
        <v>224.7702</v>
      </c>
      <c r="O42" s="602">
        <v>0.0107</v>
      </c>
      <c r="P42" s="593">
        <v>19745.6035</v>
      </c>
      <c r="Q42" s="593">
        <v>293473</v>
      </c>
      <c r="R42" s="593">
        <v>37767</v>
      </c>
      <c r="S42" s="593">
        <v>14376</v>
      </c>
      <c r="T42" s="593">
        <v>17282</v>
      </c>
      <c r="U42" s="593">
        <v>6954</v>
      </c>
      <c r="V42" s="593">
        <f>SUM(Q42:U42)</f>
        <v>369852</v>
      </c>
      <c r="W42" s="593">
        <f>V42*12</f>
        <v>4438224</v>
      </c>
      <c r="X42" s="592"/>
      <c r="Z42">
        <v>0</v>
      </c>
    </row>
    <row r="43">
      <c r="A43" s="589" t="inlineStr">
        <is>
          <t xml:space="preserve">A3-1</t>
        </is>
      </c>
      <c r="B43" s="589" t="inlineStr">
        <is>
          <t xml:space="preserve">출입통제</t>
        </is>
      </c>
      <c r="C43" s="589" t="inlineStr">
        <is>
          <t xml:space="preserve">출입보안시스템</t>
        </is>
      </c>
      <c r="D43" s="589" t="inlineStr">
        <is>
          <t xml:space="preserve">출입카드 발급·회수·분실 처리</t>
        </is>
      </c>
      <c r="E43" s="589" t="inlineStr">
        <is>
          <t xml:space="preserve">작업</t>
        </is>
      </c>
      <c r="F43" s="589" t="inlineStr">
        <is>
          <t xml:space="preserve">공통</t>
        </is>
      </c>
      <c r="G43" s="598">
        <v>5</v>
      </c>
      <c r="H43" s="590">
        <v>10</v>
      </c>
      <c r="I43" s="589" t="inlineStr">
        <is>
          <t xml:space="preserve">건</t>
        </is>
      </c>
      <c r="J43" s="598">
        <v>1</v>
      </c>
      <c r="K43" s="589" t="inlineStr">
        <is>
          <t xml:space="preserve">매주</t>
        </is>
      </c>
      <c r="L43" s="598">
        <v>43.4524</v>
      </c>
      <c r="M43" s="598">
        <v>4.1642</v>
      </c>
      <c r="N43" s="598">
        <v>49.9702</v>
      </c>
      <c r="O43" s="601">
        <v>0.0024</v>
      </c>
      <c r="P43" s="590">
        <v>19745.5133</v>
      </c>
      <c r="Q43" s="590">
        <v>65244</v>
      </c>
      <c r="R43" s="590">
        <v>8396</v>
      </c>
      <c r="S43" s="590">
        <v>3196</v>
      </c>
      <c r="T43" s="590">
        <v>3842</v>
      </c>
      <c r="U43" s="590">
        <v>1546</v>
      </c>
      <c r="V43" s="590">
        <f>SUM(Q43:U43)</f>
        <v>82224</v>
      </c>
      <c r="W43" s="590">
        <f>V43*12</f>
        <v>986688</v>
      </c>
      <c r="X43" s="590">
        <v>1892.2784</v>
      </c>
      <c r="Z43">
        <v>1</v>
      </c>
    </row>
    <row r="44">
      <c r="A44" s="589" t="inlineStr">
        <is>
          <t xml:space="preserve">A3-2</t>
        </is>
      </c>
      <c r="B44" s="589" t="inlineStr">
        <is>
          <t xml:space="preserve">출입통제</t>
        </is>
      </c>
      <c r="C44" s="589" t="inlineStr">
        <is>
          <t xml:space="preserve">출입보안시스템</t>
        </is>
      </c>
      <c r="D44" s="589" t="inlineStr">
        <is>
          <t xml:space="preserve">출입기록 확인·이상 출입 조치</t>
        </is>
      </c>
      <c r="E44" s="589" t="inlineStr">
        <is>
          <t xml:space="preserve">작업</t>
        </is>
      </c>
      <c r="F44" s="589" t="inlineStr">
        <is>
          <t xml:space="preserve">공통</t>
        </is>
      </c>
      <c r="G44" s="598">
        <v>15</v>
      </c>
      <c r="H44" s="590">
        <v>1</v>
      </c>
      <c r="I44" s="589" t="inlineStr">
        <is>
          <t xml:space="preserve">회</t>
        </is>
      </c>
      <c r="J44" s="598">
        <v>1</v>
      </c>
      <c r="K44" s="589" t="inlineStr">
        <is>
          <t xml:space="preserve">매일</t>
        </is>
      </c>
      <c r="L44" s="598">
        <v>30.4</v>
      </c>
      <c r="M44" s="598">
        <v>8.74</v>
      </c>
      <c r="N44" s="598">
        <v>104.88</v>
      </c>
      <c r="O44" s="601">
        <v>0.005</v>
      </c>
      <c r="P44" s="590">
        <v>19745.6522</v>
      </c>
      <c r="Q44" s="590">
        <v>136937</v>
      </c>
      <c r="R44" s="590">
        <v>17623</v>
      </c>
      <c r="S44" s="590">
        <v>6708</v>
      </c>
      <c r="T44" s="590">
        <v>8064</v>
      </c>
      <c r="U44" s="590">
        <v>3245</v>
      </c>
      <c r="V44" s="590">
        <f>SUM(Q44:U44)</f>
        <v>172577</v>
      </c>
      <c r="W44" s="590">
        <f>V44*12</f>
        <v>2070924</v>
      </c>
      <c r="X44" s="590">
        <v>5676.875</v>
      </c>
      <c r="Z44">
        <v>1</v>
      </c>
    </row>
    <row r="45">
      <c r="A45" s="589" t="inlineStr">
        <is>
          <t xml:space="preserve">A3-3</t>
        </is>
      </c>
      <c r="B45" s="589" t="inlineStr">
        <is>
          <t xml:space="preserve">출입통제</t>
        </is>
      </c>
      <c r="C45" s="589" t="inlineStr">
        <is>
          <t xml:space="preserve">출입보안시스템</t>
        </is>
      </c>
      <c r="D45" s="589" t="inlineStr">
        <is>
          <t xml:space="preserve">스피드게이트·출입통제기 작동 확인</t>
        </is>
      </c>
      <c r="E45" s="589" t="inlineStr">
        <is>
          <t xml:space="preserve">작업</t>
        </is>
      </c>
      <c r="F45" s="589" t="inlineStr">
        <is>
          <t xml:space="preserve">공통</t>
        </is>
      </c>
      <c r="G45" s="598">
        <v>5</v>
      </c>
      <c r="H45" s="590">
        <v>2</v>
      </c>
      <c r="I45" s="589" t="inlineStr">
        <is>
          <t xml:space="preserve">대</t>
        </is>
      </c>
      <c r="J45" s="598">
        <v>1</v>
      </c>
      <c r="K45" s="589" t="inlineStr">
        <is>
          <t xml:space="preserve">매일</t>
        </is>
      </c>
      <c r="L45" s="598">
        <v>60.8</v>
      </c>
      <c r="M45" s="598">
        <v>5.8267</v>
      </c>
      <c r="N45" s="598">
        <v>69.92</v>
      </c>
      <c r="O45" s="601">
        <v>0.0033</v>
      </c>
      <c r="P45" s="590">
        <v>19745.595</v>
      </c>
      <c r="Q45" s="590">
        <v>91292</v>
      </c>
      <c r="R45" s="590">
        <v>11748</v>
      </c>
      <c r="S45" s="590">
        <v>4472</v>
      </c>
      <c r="T45" s="590">
        <v>5376</v>
      </c>
      <c r="U45" s="590">
        <v>2163</v>
      </c>
      <c r="V45" s="590">
        <f>SUM(Q45:U45)</f>
        <v>115051</v>
      </c>
      <c r="W45" s="590">
        <f>V45*12</f>
        <v>1380612</v>
      </c>
      <c r="X45" s="590">
        <v>1892.2862</v>
      </c>
      <c r="Z45">
        <v>1</v>
      </c>
    </row>
    <row r="46">
      <c r="A46" s="592" t="inlineStr">
        <is>
          <t xml:space="preserve">B</t>
        </is>
      </c>
      <c r="B46" s="592" t="inlineStr">
        <is>
          <t xml:space="preserve">순찰</t>
        </is>
      </c>
      <c r="C46" s="592" t="inlineStr">
        <is>
          <t xml:space="preserve"/>
        </is>
      </c>
      <c r="D46" s="592" t="inlineStr">
        <is>
          <t xml:space="preserve"/>
        </is>
      </c>
      <c r="E46" s="592" t="inlineStr">
        <is>
          <t xml:space="preserve">7개 업무</t>
        </is>
      </c>
      <c r="F46" s="592" t="inlineStr">
        <is>
          <t xml:space="preserve"/>
        </is>
      </c>
      <c r="G46" s="592"/>
      <c r="H46" s="592"/>
      <c r="I46" s="592"/>
      <c r="J46" s="592"/>
      <c r="K46" s="592"/>
      <c r="L46" s="592"/>
      <c r="M46" s="599">
        <v>417.956</v>
      </c>
      <c r="N46" s="599">
        <v>5015.472</v>
      </c>
      <c r="O46" s="602">
        <v>0.2385</v>
      </c>
      <c r="P46" s="593">
        <v>19745.612</v>
      </c>
      <c r="Q46" s="593">
        <v>6548483</v>
      </c>
      <c r="R46" s="593">
        <v>842734</v>
      </c>
      <c r="S46" s="593">
        <v>320791</v>
      </c>
      <c r="T46" s="593">
        <v>385610</v>
      </c>
      <c r="U46" s="593">
        <v>155179</v>
      </c>
      <c r="V46" s="593">
        <f>SUM(Q46:U46)</f>
        <v>8252797</v>
      </c>
      <c r="W46" s="593">
        <f>V46*12</f>
        <v>99033564</v>
      </c>
      <c r="X46" s="592"/>
      <c r="Z46">
        <v>0</v>
      </c>
    </row>
    <row r="47">
      <c r="A47" s="592" t="inlineStr">
        <is>
          <t xml:space="preserve">B1</t>
        </is>
      </c>
      <c r="B47" s="592" t="inlineStr">
        <is>
          <t xml:space="preserve">순찰</t>
        </is>
      </c>
      <c r="C47" s="592" t="inlineStr">
        <is>
          <t xml:space="preserve">정기순찰</t>
        </is>
      </c>
      <c r="D47" s="592" t="inlineStr">
        <is>
          <t xml:space="preserve"/>
        </is>
      </c>
      <c r="E47" s="592" t="inlineStr">
        <is>
          <t xml:space="preserve">4개 업무</t>
        </is>
      </c>
      <c r="F47" s="592" t="inlineStr">
        <is>
          <t xml:space="preserve"/>
        </is>
      </c>
      <c r="G47" s="592"/>
      <c r="H47" s="592"/>
      <c r="I47" s="592"/>
      <c r="J47" s="592"/>
      <c r="K47" s="592"/>
      <c r="L47" s="592"/>
      <c r="M47" s="599">
        <v>318.136</v>
      </c>
      <c r="N47" s="599">
        <v>3817.632</v>
      </c>
      <c r="O47" s="602">
        <v>0.1815</v>
      </c>
      <c r="P47" s="593">
        <v>19745.6151</v>
      </c>
      <c r="Q47" s="593">
        <v>4984516</v>
      </c>
      <c r="R47" s="593">
        <v>641465</v>
      </c>
      <c r="S47" s="593">
        <v>244177</v>
      </c>
      <c r="T47" s="593">
        <v>293515</v>
      </c>
      <c r="U47" s="593">
        <v>118118</v>
      </c>
      <c r="V47" s="593">
        <f>SUM(Q47:U47)</f>
        <v>6281791</v>
      </c>
      <c r="W47" s="593">
        <f>V47*12</f>
        <v>75381492</v>
      </c>
      <c r="X47" s="592"/>
      <c r="Z47">
        <v>0</v>
      </c>
    </row>
    <row r="48">
      <c r="A48" s="589" t="inlineStr">
        <is>
          <t xml:space="preserve">B1-1</t>
        </is>
      </c>
      <c r="B48" s="589" t="inlineStr">
        <is>
          <t xml:space="preserve">순찰</t>
        </is>
      </c>
      <c r="C48" s="589" t="inlineStr">
        <is>
          <t xml:space="preserve">정기순찰</t>
        </is>
      </c>
      <c r="D48" s="589" t="inlineStr">
        <is>
          <t xml:space="preserve">외곽 울타리·담장 순찰</t>
        </is>
      </c>
      <c r="E48" s="589" t="inlineStr">
        <is>
          <t xml:space="preserve">작업</t>
        </is>
      </c>
      <c r="F48" s="589" t="inlineStr">
        <is>
          <t xml:space="preserve">공통</t>
        </is>
      </c>
      <c r="G48" s="598">
        <v>30</v>
      </c>
      <c r="H48" s="590">
        <v>2</v>
      </c>
      <c r="I48" s="589" t="inlineStr">
        <is>
          <t xml:space="preserve">구역</t>
        </is>
      </c>
      <c r="J48" s="598">
        <v>4</v>
      </c>
      <c r="K48" s="589" t="inlineStr">
        <is>
          <t xml:space="preserve">매일</t>
        </is>
      </c>
      <c r="L48" s="598">
        <v>243.2</v>
      </c>
      <c r="M48" s="598">
        <v>139.84</v>
      </c>
      <c r="N48" s="598">
        <v>1678.08</v>
      </c>
      <c r="O48" s="601">
        <v>0.0798</v>
      </c>
      <c r="P48" s="590">
        <v>19745.6164</v>
      </c>
      <c r="Q48" s="590">
        <v>2190996</v>
      </c>
      <c r="R48" s="590">
        <v>281962</v>
      </c>
      <c r="S48" s="590">
        <v>107331</v>
      </c>
      <c r="T48" s="590">
        <v>129018</v>
      </c>
      <c r="U48" s="590">
        <v>51920</v>
      </c>
      <c r="V48" s="590">
        <f>SUM(Q48:U48)</f>
        <v>2761227</v>
      </c>
      <c r="W48" s="590">
        <f>V48*12</f>
        <v>33134724</v>
      </c>
      <c r="X48" s="590">
        <v>11353.7294</v>
      </c>
      <c r="Z48">
        <v>1</v>
      </c>
    </row>
    <row r="49">
      <c r="A49" s="589" t="inlineStr">
        <is>
          <t xml:space="preserve">B1-2</t>
        </is>
      </c>
      <c r="B49" s="589" t="inlineStr">
        <is>
          <t xml:space="preserve">순찰</t>
        </is>
      </c>
      <c r="C49" s="589" t="inlineStr">
        <is>
          <t xml:space="preserve">정기순찰</t>
        </is>
      </c>
      <c r="D49" s="589" t="inlineStr">
        <is>
          <t xml:space="preserve">건물 내부 층별 순찰</t>
        </is>
      </c>
      <c r="E49" s="589" t="inlineStr">
        <is>
          <t xml:space="preserve">작업</t>
        </is>
      </c>
      <c r="F49" s="589" t="inlineStr">
        <is>
          <t xml:space="preserve">공통</t>
        </is>
      </c>
      <c r="G49" s="598">
        <v>5</v>
      </c>
      <c r="H49" s="590">
        <v>18</v>
      </c>
      <c r="I49" s="589" t="inlineStr">
        <is>
          <t xml:space="preserve">층</t>
        </is>
      </c>
      <c r="J49" s="598">
        <v>2</v>
      </c>
      <c r="K49" s="589" t="inlineStr">
        <is>
          <t xml:space="preserve">매일</t>
        </is>
      </c>
      <c r="L49" s="598">
        <v>1094.4</v>
      </c>
      <c r="M49" s="598">
        <v>104.88</v>
      </c>
      <c r="N49" s="598">
        <v>1258.56</v>
      </c>
      <c r="O49" s="601">
        <v>0.0598</v>
      </c>
      <c r="P49" s="590">
        <v>19745.614</v>
      </c>
      <c r="Q49" s="590">
        <v>1643247</v>
      </c>
      <c r="R49" s="590">
        <v>211472</v>
      </c>
      <c r="S49" s="590">
        <v>80498</v>
      </c>
      <c r="T49" s="590">
        <v>96763</v>
      </c>
      <c r="U49" s="590">
        <v>38940</v>
      </c>
      <c r="V49" s="590">
        <f>SUM(Q49:U49)</f>
        <v>2070920</v>
      </c>
      <c r="W49" s="590">
        <f>V49*12</f>
        <v>24851040</v>
      </c>
      <c r="X49" s="590">
        <v>1892.288</v>
      </c>
      <c r="Z49">
        <v>1</v>
      </c>
    </row>
    <row r="50">
      <c r="A50" s="589" t="inlineStr">
        <is>
          <t xml:space="preserve">B1-3</t>
        </is>
      </c>
      <c r="B50" s="589" t="inlineStr">
        <is>
          <t xml:space="preserve">순찰</t>
        </is>
      </c>
      <c r="C50" s="589" t="inlineStr">
        <is>
          <t xml:space="preserve">정기순찰</t>
        </is>
      </c>
      <c r="D50" s="589" t="inlineStr">
        <is>
          <t xml:space="preserve">주차장 순찰</t>
        </is>
      </c>
      <c r="E50" s="589" t="inlineStr">
        <is>
          <t xml:space="preserve">작업</t>
        </is>
      </c>
      <c r="F50" s="589" t="inlineStr">
        <is>
          <t xml:space="preserve">공통</t>
        </is>
      </c>
      <c r="G50" s="598">
        <v>8</v>
      </c>
      <c r="H50" s="590">
        <v>3</v>
      </c>
      <c r="I50" s="589" t="inlineStr">
        <is>
          <t xml:space="preserve">구역</t>
        </is>
      </c>
      <c r="J50" s="598">
        <v>3</v>
      </c>
      <c r="K50" s="589" t="inlineStr">
        <is>
          <t xml:space="preserve">매일</t>
        </is>
      </c>
      <c r="L50" s="598">
        <v>273.6</v>
      </c>
      <c r="M50" s="598">
        <v>41.952</v>
      </c>
      <c r="N50" s="598">
        <v>503.424</v>
      </c>
      <c r="O50" s="601">
        <v>0.0239</v>
      </c>
      <c r="P50" s="590">
        <v>19745.614</v>
      </c>
      <c r="Q50" s="590">
        <v>657299</v>
      </c>
      <c r="R50" s="590">
        <v>84589</v>
      </c>
      <c r="S50" s="590">
        <v>32199</v>
      </c>
      <c r="T50" s="590">
        <v>38705</v>
      </c>
      <c r="U50" s="590">
        <v>15576</v>
      </c>
      <c r="V50" s="590">
        <f>SUM(Q50:U50)</f>
        <v>828368</v>
      </c>
      <c r="W50" s="590">
        <f>V50*12</f>
        <v>9940416</v>
      </c>
      <c r="X50" s="590">
        <v>3027.6608</v>
      </c>
      <c r="Z50">
        <v>1</v>
      </c>
    </row>
    <row r="51">
      <c r="A51" s="589" t="inlineStr">
        <is>
          <t xml:space="preserve">B1-4</t>
        </is>
      </c>
      <c r="B51" s="589" t="inlineStr">
        <is>
          <t xml:space="preserve">순찰</t>
        </is>
      </c>
      <c r="C51" s="589" t="inlineStr">
        <is>
          <t xml:space="preserve">정기순찰</t>
        </is>
      </c>
      <c r="D51" s="589" t="inlineStr">
        <is>
          <t xml:space="preserve">야간 문단속·소등·전열기구 확인</t>
        </is>
      </c>
      <c r="E51" s="589" t="inlineStr">
        <is>
          <t xml:space="preserve">작업</t>
        </is>
      </c>
      <c r="F51" s="589" t="inlineStr">
        <is>
          <t xml:space="preserve">공통</t>
        </is>
      </c>
      <c r="G51" s="598">
        <v>3</v>
      </c>
      <c r="H51" s="590">
        <v>18</v>
      </c>
      <c r="I51" s="589" t="inlineStr">
        <is>
          <t xml:space="preserve">층</t>
        </is>
      </c>
      <c r="J51" s="598">
        <v>1</v>
      </c>
      <c r="K51" s="589" t="inlineStr">
        <is>
          <t xml:space="preserve">매일</t>
        </is>
      </c>
      <c r="L51" s="598">
        <v>547.2</v>
      </c>
      <c r="M51" s="598">
        <v>31.464</v>
      </c>
      <c r="N51" s="598">
        <v>377.568</v>
      </c>
      <c r="O51" s="601">
        <v>0.018</v>
      </c>
      <c r="P51" s="590">
        <v>19745.614</v>
      </c>
      <c r="Q51" s="590">
        <v>492974</v>
      </c>
      <c r="R51" s="590">
        <v>63442</v>
      </c>
      <c r="S51" s="590">
        <v>24149</v>
      </c>
      <c r="T51" s="590">
        <v>29029</v>
      </c>
      <c r="U51" s="590">
        <v>11682</v>
      </c>
      <c r="V51" s="590">
        <f>SUM(Q51:U51)</f>
        <v>621276</v>
      </c>
      <c r="W51" s="590">
        <f>V51*12</f>
        <v>7455312</v>
      </c>
      <c r="X51" s="590">
        <v>1135.3728</v>
      </c>
      <c r="Z51">
        <v>1</v>
      </c>
    </row>
    <row r="52">
      <c r="A52" s="592" t="inlineStr">
        <is>
          <t xml:space="preserve">B2</t>
        </is>
      </c>
      <c r="B52" s="592" t="inlineStr">
        <is>
          <t xml:space="preserve">순찰</t>
        </is>
      </c>
      <c r="C52" s="592" t="inlineStr">
        <is>
          <t xml:space="preserve">특별순찰</t>
        </is>
      </c>
      <c r="D52" s="592" t="inlineStr">
        <is>
          <t xml:space="preserve"/>
        </is>
      </c>
      <c r="E52" s="592" t="inlineStr">
        <is>
          <t xml:space="preserve">3개 업무</t>
        </is>
      </c>
      <c r="F52" s="592" t="inlineStr">
        <is>
          <t xml:space="preserve"/>
        </is>
      </c>
      <c r="G52" s="592"/>
      <c r="H52" s="592"/>
      <c r="I52" s="592"/>
      <c r="J52" s="592"/>
      <c r="K52" s="592"/>
      <c r="L52" s="592"/>
      <c r="M52" s="599">
        <v>99.82</v>
      </c>
      <c r="N52" s="599">
        <v>1197.84</v>
      </c>
      <c r="O52" s="602">
        <v>0.057</v>
      </c>
      <c r="P52" s="593">
        <v>19745.6021</v>
      </c>
      <c r="Q52" s="593">
        <v>1563967</v>
      </c>
      <c r="R52" s="593">
        <v>201269</v>
      </c>
      <c r="S52" s="593">
        <v>76614</v>
      </c>
      <c r="T52" s="593">
        <v>92095</v>
      </c>
      <c r="U52" s="593">
        <v>37061</v>
      </c>
      <c r="V52" s="593">
        <f>SUM(Q52:U52)</f>
        <v>1971006</v>
      </c>
      <c r="W52" s="593">
        <f>V52*12</f>
        <v>23652072</v>
      </c>
      <c r="X52" s="592"/>
      <c r="Z52">
        <v>0</v>
      </c>
    </row>
    <row r="53">
      <c r="A53" s="589" t="inlineStr">
        <is>
          <t xml:space="preserve">B2-1</t>
        </is>
      </c>
      <c r="B53" s="589" t="inlineStr">
        <is>
          <t xml:space="preserve">순찰</t>
        </is>
      </c>
      <c r="C53" s="589" t="inlineStr">
        <is>
          <t xml:space="preserve">특별순찰</t>
        </is>
      </c>
      <c r="D53" s="589" t="inlineStr">
        <is>
          <t xml:space="preserve">취약지역·사각지대 집중 순찰</t>
        </is>
      </c>
      <c r="E53" s="589" t="inlineStr">
        <is>
          <t xml:space="preserve">작업</t>
        </is>
      </c>
      <c r="F53" s="589" t="inlineStr">
        <is>
          <t xml:space="preserve">공통</t>
        </is>
      </c>
      <c r="G53" s="598">
        <v>20</v>
      </c>
      <c r="H53" s="590">
        <v>3</v>
      </c>
      <c r="I53" s="589" t="inlineStr">
        <is>
          <t xml:space="preserve">개소</t>
        </is>
      </c>
      <c r="J53" s="598">
        <v>2</v>
      </c>
      <c r="K53" s="589" t="inlineStr">
        <is>
          <t xml:space="preserve">매일</t>
        </is>
      </c>
      <c r="L53" s="598">
        <v>182.4</v>
      </c>
      <c r="M53" s="598">
        <v>69.92</v>
      </c>
      <c r="N53" s="598">
        <v>839.04</v>
      </c>
      <c r="O53" s="601">
        <v>0.0399</v>
      </c>
      <c r="P53" s="590">
        <v>19745.6093</v>
      </c>
      <c r="Q53" s="590">
        <v>1095498</v>
      </c>
      <c r="R53" s="590">
        <v>140981</v>
      </c>
      <c r="S53" s="590">
        <v>53665</v>
      </c>
      <c r="T53" s="590">
        <v>64509</v>
      </c>
      <c r="U53" s="590">
        <v>25960</v>
      </c>
      <c r="V53" s="590">
        <f>SUM(Q53:U53)</f>
        <v>1380613</v>
      </c>
      <c r="W53" s="590">
        <f>V53*12</f>
        <v>16567356</v>
      </c>
      <c r="X53" s="590">
        <v>7569.1502</v>
      </c>
      <c r="Z53">
        <v>1</v>
      </c>
    </row>
    <row r="54">
      <c r="A54" s="589" t="inlineStr">
        <is>
          <t xml:space="preserve">B2-2</t>
        </is>
      </c>
      <c r="B54" s="589" t="inlineStr">
        <is>
          <t xml:space="preserve">순찰</t>
        </is>
      </c>
      <c r="C54" s="589" t="inlineStr">
        <is>
          <t xml:space="preserve">특별순찰</t>
        </is>
      </c>
      <c r="D54" s="589" t="inlineStr">
        <is>
          <t xml:space="preserve">휴일·공휴일 전수 점검</t>
        </is>
      </c>
      <c r="E54" s="589" t="inlineStr">
        <is>
          <t xml:space="preserve">작업</t>
        </is>
      </c>
      <c r="F54" s="589" t="inlineStr">
        <is>
          <t xml:space="preserve">공통</t>
        </is>
      </c>
      <c r="G54" s="598">
        <v>30</v>
      </c>
      <c r="H54" s="590">
        <v>6</v>
      </c>
      <c r="I54" s="589" t="inlineStr">
        <is>
          <t xml:space="preserve">동</t>
        </is>
      </c>
      <c r="J54" s="598">
        <v>8</v>
      </c>
      <c r="K54" s="589" t="inlineStr">
        <is>
          <t xml:space="preserve">매월</t>
        </is>
      </c>
      <c r="L54" s="598">
        <v>48</v>
      </c>
      <c r="M54" s="598">
        <v>27.6</v>
      </c>
      <c r="N54" s="598">
        <v>331.2</v>
      </c>
      <c r="O54" s="601">
        <v>0.0157</v>
      </c>
      <c r="P54" s="590">
        <v>19745.5797</v>
      </c>
      <c r="Q54" s="590">
        <v>432433</v>
      </c>
      <c r="R54" s="590">
        <v>55650</v>
      </c>
      <c r="S54" s="590">
        <v>21184</v>
      </c>
      <c r="T54" s="590">
        <v>25464</v>
      </c>
      <c r="U54" s="590">
        <v>10247</v>
      </c>
      <c r="V54" s="590">
        <f>SUM(Q54:U54)</f>
        <v>544978</v>
      </c>
      <c r="W54" s="590">
        <f>V54*12</f>
        <v>6539736</v>
      </c>
      <c r="X54" s="590">
        <v>11353.7083</v>
      </c>
      <c r="Z54">
        <v>1</v>
      </c>
    </row>
    <row r="55">
      <c r="A55" s="589" t="inlineStr">
        <is>
          <t xml:space="preserve">B2-3</t>
        </is>
      </c>
      <c r="B55" s="589" t="inlineStr">
        <is>
          <t xml:space="preserve">순찰</t>
        </is>
      </c>
      <c r="C55" s="589" t="inlineStr">
        <is>
          <t xml:space="preserve">특별순찰</t>
        </is>
      </c>
      <c r="D55" s="589" t="inlineStr">
        <is>
          <t xml:space="preserve">기상특보(태풍·폭우·폭설) 비상 순찰</t>
        </is>
      </c>
      <c r="E55" s="589" t="inlineStr">
        <is>
          <t xml:space="preserve">작업</t>
        </is>
      </c>
      <c r="F55" s="589" t="inlineStr">
        <is>
          <t xml:space="preserve">공통</t>
        </is>
      </c>
      <c r="G55" s="598">
        <v>60</v>
      </c>
      <c r="H55" s="590">
        <v>6</v>
      </c>
      <c r="I55" s="589" t="inlineStr">
        <is>
          <t xml:space="preserve">동</t>
        </is>
      </c>
      <c r="J55" s="598">
        <v>4</v>
      </c>
      <c r="K55" s="589" t="inlineStr">
        <is>
          <t xml:space="preserve">매년</t>
        </is>
      </c>
      <c r="L55" s="598">
        <v>2</v>
      </c>
      <c r="M55" s="598">
        <v>2.3</v>
      </c>
      <c r="N55" s="598">
        <v>27.6</v>
      </c>
      <c r="O55" s="601">
        <v>0.0013</v>
      </c>
      <c r="P55" s="590">
        <v>19745.6522</v>
      </c>
      <c r="Q55" s="590">
        <v>36036</v>
      </c>
      <c r="R55" s="590">
        <v>4638</v>
      </c>
      <c r="S55" s="590">
        <v>1765</v>
      </c>
      <c r="T55" s="590">
        <v>2122</v>
      </c>
      <c r="U55" s="590">
        <v>854</v>
      </c>
      <c r="V55" s="590">
        <f>SUM(Q55:U55)</f>
        <v>45415</v>
      </c>
      <c r="W55" s="590">
        <f>V55*12</f>
        <v>544980</v>
      </c>
      <c r="X55" s="590">
        <v>22707.5</v>
      </c>
      <c r="Z55">
        <v>1</v>
      </c>
    </row>
    <row r="56">
      <c r="A56" s="592" t="inlineStr">
        <is>
          <t xml:space="preserve">C</t>
        </is>
      </c>
      <c r="B56" s="592" t="inlineStr">
        <is>
          <t xml:space="preserve">상황대처</t>
        </is>
      </c>
      <c r="C56" s="592" t="inlineStr">
        <is>
          <t xml:space="preserve"/>
        </is>
      </c>
      <c r="D56" s="592" t="inlineStr">
        <is>
          <t xml:space="preserve"/>
        </is>
      </c>
      <c r="E56" s="592" t="inlineStr">
        <is>
          <t xml:space="preserve">23개 업무</t>
        </is>
      </c>
      <c r="F56" s="592" t="inlineStr">
        <is>
          <t xml:space="preserve"/>
        </is>
      </c>
      <c r="G56" s="592"/>
      <c r="H56" s="592"/>
      <c r="I56" s="592"/>
      <c r="J56" s="592"/>
      <c r="K56" s="592"/>
      <c r="L56" s="592"/>
      <c r="M56" s="599">
        <v>52.3378</v>
      </c>
      <c r="N56" s="599">
        <v>628.0533</v>
      </c>
      <c r="O56" s="602">
        <v>0.0299</v>
      </c>
      <c r="P56" s="593">
        <v>19745.6033</v>
      </c>
      <c r="Q56" s="593">
        <v>820021</v>
      </c>
      <c r="R56" s="593">
        <v>105528</v>
      </c>
      <c r="S56" s="593">
        <v>40169</v>
      </c>
      <c r="T56" s="593">
        <v>48290</v>
      </c>
      <c r="U56" s="593">
        <v>19433</v>
      </c>
      <c r="V56" s="593">
        <f>SUM(Q56:U56)</f>
        <v>1033441</v>
      </c>
      <c r="W56" s="593">
        <f>V56*12</f>
        <v>12401292</v>
      </c>
      <c r="X56" s="592"/>
      <c r="Z56">
        <v>0</v>
      </c>
    </row>
    <row r="57">
      <c r="A57" s="592" t="inlineStr">
        <is>
          <t xml:space="preserve">C1</t>
        </is>
      </c>
      <c r="B57" s="592" t="inlineStr">
        <is>
          <t xml:space="preserve">상황대처</t>
        </is>
      </c>
      <c r="C57" s="592" t="inlineStr">
        <is>
          <t xml:space="preserve">화재·소방</t>
        </is>
      </c>
      <c r="D57" s="592" t="inlineStr">
        <is>
          <t xml:space="preserve"/>
        </is>
      </c>
      <c r="E57" s="592" t="inlineStr">
        <is>
          <t xml:space="preserve">4개 업무</t>
        </is>
      </c>
      <c r="F57" s="592" t="inlineStr">
        <is>
          <t xml:space="preserve"/>
        </is>
      </c>
      <c r="G57" s="592"/>
      <c r="H57" s="592"/>
      <c r="I57" s="592"/>
      <c r="J57" s="592"/>
      <c r="K57" s="592"/>
      <c r="L57" s="592"/>
      <c r="M57" s="599">
        <v>2.7153</v>
      </c>
      <c r="N57" s="599">
        <v>32.5833</v>
      </c>
      <c r="O57" s="602">
        <v>0.0015</v>
      </c>
      <c r="P57" s="593">
        <v>19746.046</v>
      </c>
      <c r="Q57" s="593">
        <v>42543</v>
      </c>
      <c r="R57" s="593">
        <v>5475</v>
      </c>
      <c r="S57" s="593">
        <v>2085</v>
      </c>
      <c r="T57" s="593">
        <v>2505</v>
      </c>
      <c r="U57" s="593">
        <v>1008</v>
      </c>
      <c r="V57" s="593">
        <f>SUM(Q57:U57)</f>
        <v>53616</v>
      </c>
      <c r="W57" s="593">
        <f>V57*12</f>
        <v>643392</v>
      </c>
      <c r="X57" s="592"/>
      <c r="Z57">
        <v>0</v>
      </c>
    </row>
    <row r="58">
      <c r="A58" s="589" t="inlineStr">
        <is>
          <t xml:space="preserve">C1-1</t>
        </is>
      </c>
      <c r="B58" s="589" t="inlineStr">
        <is>
          <t xml:space="preserve">상황대처</t>
        </is>
      </c>
      <c r="C58" s="589" t="inlineStr">
        <is>
          <t xml:space="preserve">화재·소방</t>
        </is>
      </c>
      <c r="D58" s="589" t="inlineStr">
        <is>
          <t xml:space="preserve">화재경보 발생 시 현장 출동·확인</t>
        </is>
      </c>
      <c r="E58" s="589" t="inlineStr">
        <is>
          <t xml:space="preserve">작업</t>
        </is>
      </c>
      <c r="F58" s="589" t="inlineStr">
        <is>
          <t xml:space="preserve">공통</t>
        </is>
      </c>
      <c r="G58" s="598">
        <v>15</v>
      </c>
      <c r="H58" s="590">
        <v>1</v>
      </c>
      <c r="I58" s="589" t="inlineStr">
        <is>
          <t xml:space="preserve">건</t>
        </is>
      </c>
      <c r="J58" s="598">
        <v>6</v>
      </c>
      <c r="K58" s="589" t="inlineStr">
        <is>
          <t xml:space="preserve">매월</t>
        </is>
      </c>
      <c r="L58" s="598">
        <v>6</v>
      </c>
      <c r="M58" s="598">
        <v>1.725</v>
      </c>
      <c r="N58" s="598">
        <v>20.7</v>
      </c>
      <c r="O58" s="601">
        <v>0.001</v>
      </c>
      <c r="P58" s="590">
        <v>19745.5072</v>
      </c>
      <c r="Q58" s="590">
        <v>27027</v>
      </c>
      <c r="R58" s="590">
        <v>3478</v>
      </c>
      <c r="S58" s="590">
        <v>1324</v>
      </c>
      <c r="T58" s="590">
        <v>1592</v>
      </c>
      <c r="U58" s="590">
        <v>640</v>
      </c>
      <c r="V58" s="590">
        <f>SUM(Q58:U58)</f>
        <v>34061</v>
      </c>
      <c r="W58" s="590">
        <f>V58*12</f>
        <v>408732</v>
      </c>
      <c r="X58" s="590">
        <v>5676.8333</v>
      </c>
      <c r="Z58">
        <v>1</v>
      </c>
    </row>
    <row r="59">
      <c r="A59" s="589" t="inlineStr">
        <is>
          <t xml:space="preserve">C1-2</t>
        </is>
      </c>
      <c r="B59" s="589" t="inlineStr">
        <is>
          <t xml:space="preserve">상황대처</t>
        </is>
      </c>
      <c r="C59" s="589" t="inlineStr">
        <is>
          <t xml:space="preserve">화재·소방</t>
        </is>
      </c>
      <c r="D59" s="589" t="inlineStr">
        <is>
          <t xml:space="preserve">비화재보 복구·수신기 리셋</t>
        </is>
      </c>
      <c r="E59" s="589" t="inlineStr">
        <is>
          <t xml:space="preserve">작업</t>
        </is>
      </c>
      <c r="F59" s="589" t="inlineStr">
        <is>
          <t xml:space="preserve">공통</t>
        </is>
      </c>
      <c r="G59" s="598">
        <v>10</v>
      </c>
      <c r="H59" s="590">
        <v>1</v>
      </c>
      <c r="I59" s="589" t="inlineStr">
        <is>
          <t xml:space="preserve">건</t>
        </is>
      </c>
      <c r="J59" s="598">
        <v>4</v>
      </c>
      <c r="K59" s="589" t="inlineStr">
        <is>
          <t xml:space="preserve">매월</t>
        </is>
      </c>
      <c r="L59" s="598">
        <v>4</v>
      </c>
      <c r="M59" s="598">
        <v>0.7667</v>
      </c>
      <c r="N59" s="598">
        <v>9.2</v>
      </c>
      <c r="O59" s="601">
        <v>0.0004</v>
      </c>
      <c r="P59" s="590">
        <v>19746.5217</v>
      </c>
      <c r="Q59" s="590">
        <v>12012</v>
      </c>
      <c r="R59" s="590">
        <v>1546</v>
      </c>
      <c r="S59" s="590">
        <v>589</v>
      </c>
      <c r="T59" s="590">
        <v>707</v>
      </c>
      <c r="U59" s="590">
        <v>285</v>
      </c>
      <c r="V59" s="590">
        <f>SUM(Q59:U59)</f>
        <v>15139</v>
      </c>
      <c r="W59" s="590">
        <f>V59*12</f>
        <v>181668</v>
      </c>
      <c r="X59" s="590">
        <v>3784.75</v>
      </c>
      <c r="Z59">
        <v>1</v>
      </c>
    </row>
    <row r="60">
      <c r="A60" s="589" t="inlineStr">
        <is>
          <t xml:space="preserve">C1-3</t>
        </is>
      </c>
      <c r="B60" s="589" t="inlineStr">
        <is>
          <t xml:space="preserve">상황대처</t>
        </is>
      </c>
      <c r="C60" s="589" t="inlineStr">
        <is>
          <t xml:space="preserve">화재·소방</t>
        </is>
      </c>
      <c r="D60" s="589" t="inlineStr">
        <is>
          <t xml:space="preserve">초기 소화·피난 유도</t>
        </is>
      </c>
      <c r="E60" s="589" t="inlineStr">
        <is>
          <t xml:space="preserve">작업</t>
        </is>
      </c>
      <c r="F60" s="589" t="inlineStr">
        <is>
          <t xml:space="preserve">공통</t>
        </is>
      </c>
      <c r="G60" s="598">
        <v>60</v>
      </c>
      <c r="H60" s="590">
        <v>1</v>
      </c>
      <c r="I60" s="589" t="inlineStr">
        <is>
          <t xml:space="preserve">건</t>
        </is>
      </c>
      <c r="J60" s="598">
        <v>1</v>
      </c>
      <c r="K60" s="589" t="inlineStr">
        <is>
          <t xml:space="preserve">매년</t>
        </is>
      </c>
      <c r="L60" s="598">
        <v>0.0833</v>
      </c>
      <c r="M60" s="598">
        <v>0.0958</v>
      </c>
      <c r="N60" s="598">
        <v>1.15</v>
      </c>
      <c r="O60" s="601">
        <v>0.0001</v>
      </c>
      <c r="P60" s="590">
        <v>19753.0435</v>
      </c>
      <c r="Q60" s="590">
        <v>1502</v>
      </c>
      <c r="R60" s="590">
        <v>193</v>
      </c>
      <c r="S60" s="590">
        <v>74</v>
      </c>
      <c r="T60" s="590">
        <v>88</v>
      </c>
      <c r="U60" s="590">
        <v>36</v>
      </c>
      <c r="V60" s="590">
        <f>SUM(Q60:U60)</f>
        <v>1893</v>
      </c>
      <c r="W60" s="590">
        <f>V60*12</f>
        <v>22716</v>
      </c>
      <c r="X60" s="590">
        <v>22716</v>
      </c>
      <c r="Z60">
        <v>1</v>
      </c>
    </row>
    <row r="61">
      <c r="A61" s="589" t="inlineStr">
        <is>
          <t xml:space="preserve">C1-4</t>
        </is>
      </c>
      <c r="B61" s="589" t="inlineStr">
        <is>
          <t xml:space="preserve">상황대처</t>
        </is>
      </c>
      <c r="C61" s="589" t="inlineStr">
        <is>
          <t xml:space="preserve">화재·소방</t>
        </is>
      </c>
      <c r="D61" s="589" t="inlineStr">
        <is>
          <t xml:space="preserve">소방서 신고·소방차 진입 안내</t>
        </is>
      </c>
      <c r="E61" s="589" t="inlineStr">
        <is>
          <t xml:space="preserve">작업</t>
        </is>
      </c>
      <c r="F61" s="589" t="inlineStr">
        <is>
          <t xml:space="preserve">공통</t>
        </is>
      </c>
      <c r="G61" s="598">
        <v>20</v>
      </c>
      <c r="H61" s="590">
        <v>1</v>
      </c>
      <c r="I61" s="589" t="inlineStr">
        <is>
          <t xml:space="preserve">건</t>
        </is>
      </c>
      <c r="J61" s="598">
        <v>1</v>
      </c>
      <c r="K61" s="589" t="inlineStr">
        <is>
          <t xml:space="preserve">분기</t>
        </is>
      </c>
      <c r="L61" s="598">
        <v>0.3333</v>
      </c>
      <c r="M61" s="598">
        <v>0.1278</v>
      </c>
      <c r="N61" s="598">
        <v>1.5333</v>
      </c>
      <c r="O61" s="601">
        <v>0.0001</v>
      </c>
      <c r="P61" s="590">
        <v>19745.2174</v>
      </c>
      <c r="Q61" s="590">
        <v>2002</v>
      </c>
      <c r="R61" s="590">
        <v>258</v>
      </c>
      <c r="S61" s="590">
        <v>98</v>
      </c>
      <c r="T61" s="590">
        <v>118</v>
      </c>
      <c r="U61" s="590">
        <v>47</v>
      </c>
      <c r="V61" s="590">
        <f>SUM(Q61:U61)</f>
        <v>2523</v>
      </c>
      <c r="W61" s="590">
        <f>V61*12</f>
        <v>30276</v>
      </c>
      <c r="X61" s="590">
        <v>7569</v>
      </c>
      <c r="Z61">
        <v>1</v>
      </c>
    </row>
    <row r="62">
      <c r="A62" s="592" t="inlineStr">
        <is>
          <t xml:space="preserve">C2</t>
        </is>
      </c>
      <c r="B62" s="592" t="inlineStr">
        <is>
          <t xml:space="preserve">상황대처</t>
        </is>
      </c>
      <c r="C62" s="592" t="inlineStr">
        <is>
          <t xml:space="preserve">응급·안전사고</t>
        </is>
      </c>
      <c r="D62" s="592" t="inlineStr">
        <is>
          <t xml:space="preserve"/>
        </is>
      </c>
      <c r="E62" s="592" t="inlineStr">
        <is>
          <t xml:space="preserve">5개 업무</t>
        </is>
      </c>
      <c r="F62" s="592" t="inlineStr">
        <is>
          <t xml:space="preserve"/>
        </is>
      </c>
      <c r="G62" s="592"/>
      <c r="H62" s="592"/>
      <c r="I62" s="592"/>
      <c r="J62" s="592"/>
      <c r="K62" s="592"/>
      <c r="L62" s="592"/>
      <c r="M62" s="599">
        <v>2.3</v>
      </c>
      <c r="N62" s="599">
        <v>27.6</v>
      </c>
      <c r="O62" s="602">
        <v>0.0013</v>
      </c>
      <c r="P62" s="593">
        <v>19746.087</v>
      </c>
      <c r="Q62" s="593">
        <v>36036</v>
      </c>
      <c r="R62" s="593">
        <v>4637</v>
      </c>
      <c r="S62" s="593">
        <v>1764</v>
      </c>
      <c r="T62" s="593">
        <v>2124</v>
      </c>
      <c r="U62" s="593">
        <v>855</v>
      </c>
      <c r="V62" s="593">
        <f>SUM(Q62:U62)</f>
        <v>45416</v>
      </c>
      <c r="W62" s="593">
        <f>V62*12</f>
        <v>544992</v>
      </c>
      <c r="X62" s="592"/>
      <c r="Z62">
        <v>0</v>
      </c>
    </row>
    <row r="63">
      <c r="A63" s="589" t="inlineStr">
        <is>
          <t xml:space="preserve">C2-1</t>
        </is>
      </c>
      <c r="B63" s="589" t="inlineStr">
        <is>
          <t xml:space="preserve">상황대처</t>
        </is>
      </c>
      <c r="C63" s="589" t="inlineStr">
        <is>
          <t xml:space="preserve">응급·안전사고</t>
        </is>
      </c>
      <c r="D63" s="589" t="inlineStr">
        <is>
          <t xml:space="preserve">응급환자 응급조치·119 신고·인계</t>
        </is>
      </c>
      <c r="E63" s="589" t="inlineStr">
        <is>
          <t xml:space="preserve">작업</t>
        </is>
      </c>
      <c r="F63" s="589" t="inlineStr">
        <is>
          <t xml:space="preserve">공통</t>
        </is>
      </c>
      <c r="G63" s="598">
        <v>30</v>
      </c>
      <c r="H63" s="590">
        <v>1</v>
      </c>
      <c r="I63" s="589" t="inlineStr">
        <is>
          <t xml:space="preserve">건</t>
        </is>
      </c>
      <c r="J63" s="598">
        <v>1</v>
      </c>
      <c r="K63" s="589" t="inlineStr">
        <is>
          <t xml:space="preserve">매월</t>
        </is>
      </c>
      <c r="L63" s="598">
        <v>1</v>
      </c>
      <c r="M63" s="598">
        <v>0.575</v>
      </c>
      <c r="N63" s="598">
        <v>6.9</v>
      </c>
      <c r="O63" s="601">
        <v>0.0003</v>
      </c>
      <c r="P63" s="590">
        <v>19746.087</v>
      </c>
      <c r="Q63" s="590">
        <v>9009</v>
      </c>
      <c r="R63" s="590">
        <v>1159</v>
      </c>
      <c r="S63" s="590">
        <v>441</v>
      </c>
      <c r="T63" s="590">
        <v>531</v>
      </c>
      <c r="U63" s="590">
        <v>214</v>
      </c>
      <c r="V63" s="590">
        <f>SUM(Q63:U63)</f>
        <v>11354</v>
      </c>
      <c r="W63" s="590">
        <f>V63*12</f>
        <v>136248</v>
      </c>
      <c r="X63" s="590">
        <v>11354</v>
      </c>
      <c r="Z63">
        <v>1</v>
      </c>
    </row>
    <row r="64">
      <c r="A64" s="589" t="inlineStr">
        <is>
          <t xml:space="preserve">C2-2</t>
        </is>
      </c>
      <c r="B64" s="589" t="inlineStr">
        <is>
          <t xml:space="preserve">상황대처</t>
        </is>
      </c>
      <c r="C64" s="589" t="inlineStr">
        <is>
          <t xml:space="preserve">응급·안전사고</t>
        </is>
      </c>
      <c r="D64" s="589" t="inlineStr">
        <is>
          <t xml:space="preserve">AED·구급함 점검</t>
        </is>
      </c>
      <c r="E64" s="589" t="inlineStr">
        <is>
          <t xml:space="preserve">작업</t>
        </is>
      </c>
      <c r="F64" s="589" t="inlineStr">
        <is>
          <t xml:space="preserve">공통</t>
        </is>
      </c>
      <c r="G64" s="598">
        <v>5</v>
      </c>
      <c r="H64" s="590">
        <v>6</v>
      </c>
      <c r="I64" s="589" t="inlineStr">
        <is>
          <t xml:space="preserve">개소</t>
        </is>
      </c>
      <c r="J64" s="598">
        <v>1</v>
      </c>
      <c r="K64" s="589" t="inlineStr">
        <is>
          <t xml:space="preserve">매월</t>
        </is>
      </c>
      <c r="L64" s="598">
        <v>6</v>
      </c>
      <c r="M64" s="598">
        <v>0.575</v>
      </c>
      <c r="N64" s="598">
        <v>6.9</v>
      </c>
      <c r="O64" s="601">
        <v>0.0003</v>
      </c>
      <c r="P64" s="590">
        <v>19746.087</v>
      </c>
      <c r="Q64" s="590">
        <v>9009</v>
      </c>
      <c r="R64" s="590">
        <v>1159</v>
      </c>
      <c r="S64" s="590">
        <v>441</v>
      </c>
      <c r="T64" s="590">
        <v>531</v>
      </c>
      <c r="U64" s="590">
        <v>214</v>
      </c>
      <c r="V64" s="590">
        <f>SUM(Q64:U64)</f>
        <v>11354</v>
      </c>
      <c r="W64" s="590">
        <f>V64*12</f>
        <v>136248</v>
      </c>
      <c r="X64" s="590">
        <v>1892.3333</v>
      </c>
      <c r="Z64">
        <v>1</v>
      </c>
    </row>
    <row r="65">
      <c r="A65" s="589" t="inlineStr">
        <is>
          <t xml:space="preserve">C2-3</t>
        </is>
      </c>
      <c r="B65" s="589" t="inlineStr">
        <is>
          <t xml:space="preserve">상황대처</t>
        </is>
      </c>
      <c r="C65" s="589" t="inlineStr">
        <is>
          <t xml:space="preserve">응급·안전사고</t>
        </is>
      </c>
      <c r="D65" s="589" t="inlineStr">
        <is>
          <t xml:space="preserve">산업재해 발생 시 현장 통제·보고</t>
        </is>
      </c>
      <c r="E65" s="589" t="inlineStr">
        <is>
          <t xml:space="preserve">작업</t>
        </is>
      </c>
      <c r="F65" s="589" t="inlineStr">
        <is>
          <t xml:space="preserve">공통</t>
        </is>
      </c>
      <c r="G65" s="598">
        <v>60</v>
      </c>
      <c r="H65" s="590">
        <v>1</v>
      </c>
      <c r="I65" s="589" t="inlineStr">
        <is>
          <t xml:space="preserve">건</t>
        </is>
      </c>
      <c r="J65" s="598">
        <v>2</v>
      </c>
      <c r="K65" s="589" t="inlineStr">
        <is>
          <t xml:space="preserve">매년</t>
        </is>
      </c>
      <c r="L65" s="598">
        <v>0.1667</v>
      </c>
      <c r="M65" s="598">
        <v>0.1917</v>
      </c>
      <c r="N65" s="598">
        <v>2.3</v>
      </c>
      <c r="O65" s="601">
        <v>0.0001</v>
      </c>
      <c r="P65" s="590">
        <v>19747.8261</v>
      </c>
      <c r="Q65" s="590">
        <v>3003</v>
      </c>
      <c r="R65" s="590">
        <v>387</v>
      </c>
      <c r="S65" s="590">
        <v>147</v>
      </c>
      <c r="T65" s="590">
        <v>177</v>
      </c>
      <c r="U65" s="590">
        <v>71</v>
      </c>
      <c r="V65" s="590">
        <f>SUM(Q65:U65)</f>
        <v>3785</v>
      </c>
      <c r="W65" s="590">
        <f>V65*12</f>
        <v>45420</v>
      </c>
      <c r="X65" s="590">
        <v>22710</v>
      </c>
      <c r="Z65">
        <v>1</v>
      </c>
    </row>
    <row r="66">
      <c r="A66" s="589" t="inlineStr">
        <is>
          <t xml:space="preserve">C2-4</t>
        </is>
      </c>
      <c r="B66" s="589" t="inlineStr">
        <is>
          <t xml:space="preserve">상황대처</t>
        </is>
      </c>
      <c r="C66" s="589" t="inlineStr">
        <is>
          <t xml:space="preserve">응급·안전사고</t>
        </is>
      </c>
      <c r="D66" s="589" t="inlineStr">
        <is>
          <t xml:space="preserve">승강기 갇힘 사고 대응·구조 연계</t>
        </is>
      </c>
      <c r="E66" s="589" t="inlineStr">
        <is>
          <t xml:space="preserve">작업</t>
        </is>
      </c>
      <c r="F66" s="589" t="inlineStr">
        <is>
          <t xml:space="preserve">공통</t>
        </is>
      </c>
      <c r="G66" s="598">
        <v>30</v>
      </c>
      <c r="H66" s="590">
        <v>1</v>
      </c>
      <c r="I66" s="589" t="inlineStr">
        <is>
          <t xml:space="preserve">건</t>
        </is>
      </c>
      <c r="J66" s="598">
        <v>1</v>
      </c>
      <c r="K66" s="589" t="inlineStr">
        <is>
          <t xml:space="preserve">매월</t>
        </is>
      </c>
      <c r="L66" s="598">
        <v>1</v>
      </c>
      <c r="M66" s="598">
        <v>0.575</v>
      </c>
      <c r="N66" s="598">
        <v>6.9</v>
      </c>
      <c r="O66" s="601">
        <v>0.0003</v>
      </c>
      <c r="P66" s="590">
        <v>19746.087</v>
      </c>
      <c r="Q66" s="590">
        <v>9009</v>
      </c>
      <c r="R66" s="590">
        <v>1159</v>
      </c>
      <c r="S66" s="590">
        <v>441</v>
      </c>
      <c r="T66" s="590">
        <v>531</v>
      </c>
      <c r="U66" s="590">
        <v>214</v>
      </c>
      <c r="V66" s="590">
        <f>SUM(Q66:U66)</f>
        <v>11354</v>
      </c>
      <c r="W66" s="590">
        <f>V66*12</f>
        <v>136248</v>
      </c>
      <c r="X66" s="590">
        <v>11354</v>
      </c>
      <c r="Z66">
        <v>1</v>
      </c>
    </row>
    <row r="67">
      <c r="A67" s="589" t="inlineStr">
        <is>
          <t xml:space="preserve">C2-5</t>
        </is>
      </c>
      <c r="B67" s="589" t="inlineStr">
        <is>
          <t xml:space="preserve">상황대처</t>
        </is>
      </c>
      <c r="C67" s="589" t="inlineStr">
        <is>
          <t xml:space="preserve">응급·안전사고</t>
        </is>
      </c>
      <c r="D67" s="589" t="inlineStr">
        <is>
          <t xml:space="preserve">넘어짐·추락 사고 현장 조치</t>
        </is>
      </c>
      <c r="E67" s="589" t="inlineStr">
        <is>
          <t xml:space="preserve">작업</t>
        </is>
      </c>
      <c r="F67" s="589" t="inlineStr">
        <is>
          <t xml:space="preserve">공통</t>
        </is>
      </c>
      <c r="G67" s="598">
        <v>20</v>
      </c>
      <c r="H67" s="590">
        <v>1</v>
      </c>
      <c r="I67" s="589" t="inlineStr">
        <is>
          <t xml:space="preserve">건</t>
        </is>
      </c>
      <c r="J67" s="598">
        <v>1</v>
      </c>
      <c r="K67" s="589" t="inlineStr">
        <is>
          <t xml:space="preserve">매월</t>
        </is>
      </c>
      <c r="L67" s="598">
        <v>1</v>
      </c>
      <c r="M67" s="598">
        <v>0.3833</v>
      </c>
      <c r="N67" s="598">
        <v>4.6</v>
      </c>
      <c r="O67" s="601">
        <v>0.0002</v>
      </c>
      <c r="P67" s="590">
        <v>19745.2174</v>
      </c>
      <c r="Q67" s="590">
        <v>6006</v>
      </c>
      <c r="R67" s="590">
        <v>773</v>
      </c>
      <c r="S67" s="590">
        <v>294</v>
      </c>
      <c r="T67" s="590">
        <v>354</v>
      </c>
      <c r="U67" s="590">
        <v>142</v>
      </c>
      <c r="V67" s="590">
        <f>SUM(Q67:U67)</f>
        <v>7569</v>
      </c>
      <c r="W67" s="590">
        <f>V67*12</f>
        <v>90828</v>
      </c>
      <c r="X67" s="590">
        <v>7569</v>
      </c>
      <c r="Z67">
        <v>1</v>
      </c>
    </row>
    <row r="68">
      <c r="A68" s="592" t="inlineStr">
        <is>
          <t xml:space="preserve">C3</t>
        </is>
      </c>
      <c r="B68" s="592" t="inlineStr">
        <is>
          <t xml:space="preserve">상황대처</t>
        </is>
      </c>
      <c r="C68" s="592" t="inlineStr">
        <is>
          <t xml:space="preserve">침입·도난·범죄</t>
        </is>
      </c>
      <c r="D68" s="592" t="inlineStr">
        <is>
          <t xml:space="preserve"/>
        </is>
      </c>
      <c r="E68" s="592" t="inlineStr">
        <is>
          <t xml:space="preserve">4개 업무</t>
        </is>
      </c>
      <c r="F68" s="592" t="inlineStr">
        <is>
          <t xml:space="preserve"/>
        </is>
      </c>
      <c r="G68" s="592"/>
      <c r="H68" s="592"/>
      <c r="I68" s="592"/>
      <c r="J68" s="592"/>
      <c r="K68" s="592"/>
      <c r="L68" s="592"/>
      <c r="M68" s="599">
        <v>6.7083</v>
      </c>
      <c r="N68" s="599">
        <v>80.5</v>
      </c>
      <c r="O68" s="602">
        <v>0.0038</v>
      </c>
      <c r="P68" s="593">
        <v>19745.7391</v>
      </c>
      <c r="Q68" s="593">
        <v>105105</v>
      </c>
      <c r="R68" s="593">
        <v>13527</v>
      </c>
      <c r="S68" s="593">
        <v>5148</v>
      </c>
      <c r="T68" s="593">
        <v>6190</v>
      </c>
      <c r="U68" s="593">
        <v>2491</v>
      </c>
      <c r="V68" s="593">
        <f>SUM(Q68:U68)</f>
        <v>132461</v>
      </c>
      <c r="W68" s="593">
        <f>V68*12</f>
        <v>1589532</v>
      </c>
      <c r="X68" s="592"/>
      <c r="Z68">
        <v>0</v>
      </c>
    </row>
    <row r="69">
      <c r="A69" s="589" t="inlineStr">
        <is>
          <t xml:space="preserve">C3-1</t>
        </is>
      </c>
      <c r="B69" s="589" t="inlineStr">
        <is>
          <t xml:space="preserve">상황대처</t>
        </is>
      </c>
      <c r="C69" s="589" t="inlineStr">
        <is>
          <t xml:space="preserve">침입·도난·범죄</t>
        </is>
      </c>
      <c r="D69" s="589" t="inlineStr">
        <is>
          <t xml:space="preserve">무단침입 발생 시 대응·경찰 신고</t>
        </is>
      </c>
      <c r="E69" s="589" t="inlineStr">
        <is>
          <t xml:space="preserve">작업</t>
        </is>
      </c>
      <c r="F69" s="589" t="inlineStr">
        <is>
          <t xml:space="preserve">공통</t>
        </is>
      </c>
      <c r="G69" s="598">
        <v>40</v>
      </c>
      <c r="H69" s="590">
        <v>1</v>
      </c>
      <c r="I69" s="589" t="inlineStr">
        <is>
          <t xml:space="preserve">건</t>
        </is>
      </c>
      <c r="J69" s="598">
        <v>2</v>
      </c>
      <c r="K69" s="589" t="inlineStr">
        <is>
          <t xml:space="preserve">매월</t>
        </is>
      </c>
      <c r="L69" s="598">
        <v>2</v>
      </c>
      <c r="M69" s="598">
        <v>1.5333</v>
      </c>
      <c r="N69" s="598">
        <v>18.4</v>
      </c>
      <c r="O69" s="601">
        <v>0.0009</v>
      </c>
      <c r="P69" s="590">
        <v>19745.8696</v>
      </c>
      <c r="Q69" s="590">
        <v>24024</v>
      </c>
      <c r="R69" s="590">
        <v>3092</v>
      </c>
      <c r="S69" s="590">
        <v>1177</v>
      </c>
      <c r="T69" s="590">
        <v>1415</v>
      </c>
      <c r="U69" s="590">
        <v>569</v>
      </c>
      <c r="V69" s="590">
        <f>SUM(Q69:U69)</f>
        <v>30277</v>
      </c>
      <c r="W69" s="590">
        <f>V69*12</f>
        <v>363324</v>
      </c>
      <c r="X69" s="590">
        <v>15138.5</v>
      </c>
      <c r="Z69">
        <v>1</v>
      </c>
    </row>
    <row r="70">
      <c r="A70" s="589" t="inlineStr">
        <is>
          <t xml:space="preserve">C3-2</t>
        </is>
      </c>
      <c r="B70" s="589" t="inlineStr">
        <is>
          <t xml:space="preserve">상황대처</t>
        </is>
      </c>
      <c r="C70" s="589" t="inlineStr">
        <is>
          <t xml:space="preserve">침입·도난·범죄</t>
        </is>
      </c>
      <c r="D70" s="589" t="inlineStr">
        <is>
          <t xml:space="preserve">도난·분실 신고 접수·조사 협조</t>
        </is>
      </c>
      <c r="E70" s="589" t="inlineStr">
        <is>
          <t xml:space="preserve">작업</t>
        </is>
      </c>
      <c r="F70" s="589" t="inlineStr">
        <is>
          <t xml:space="preserve">공통</t>
        </is>
      </c>
      <c r="G70" s="598">
        <v>30</v>
      </c>
      <c r="H70" s="590">
        <v>1</v>
      </c>
      <c r="I70" s="589" t="inlineStr">
        <is>
          <t xml:space="preserve">건</t>
        </is>
      </c>
      <c r="J70" s="598">
        <v>1</v>
      </c>
      <c r="K70" s="589" t="inlineStr">
        <is>
          <t xml:space="preserve">매월</t>
        </is>
      </c>
      <c r="L70" s="598">
        <v>1</v>
      </c>
      <c r="M70" s="598">
        <v>0.575</v>
      </c>
      <c r="N70" s="598">
        <v>6.9</v>
      </c>
      <c r="O70" s="601">
        <v>0.0003</v>
      </c>
      <c r="P70" s="590">
        <v>19746.087</v>
      </c>
      <c r="Q70" s="590">
        <v>9009</v>
      </c>
      <c r="R70" s="590">
        <v>1159</v>
      </c>
      <c r="S70" s="590">
        <v>441</v>
      </c>
      <c r="T70" s="590">
        <v>531</v>
      </c>
      <c r="U70" s="590">
        <v>214</v>
      </c>
      <c r="V70" s="590">
        <f>SUM(Q70:U70)</f>
        <v>11354</v>
      </c>
      <c r="W70" s="590">
        <f>V70*12</f>
        <v>136248</v>
      </c>
      <c r="X70" s="590">
        <v>11354</v>
      </c>
      <c r="Z70">
        <v>1</v>
      </c>
    </row>
    <row r="71">
      <c r="A71" s="589" t="inlineStr">
        <is>
          <t xml:space="preserve">C3-3</t>
        </is>
      </c>
      <c r="B71" s="589" t="inlineStr">
        <is>
          <t xml:space="preserve">상황대처</t>
        </is>
      </c>
      <c r="C71" s="589" t="inlineStr">
        <is>
          <t xml:space="preserve">침입·도난·범죄</t>
        </is>
      </c>
      <c r="D71" s="589" t="inlineStr">
        <is>
          <t xml:space="preserve">CCTV 영상 확인·증거 보존 지원</t>
        </is>
      </c>
      <c r="E71" s="589" t="inlineStr">
        <is>
          <t xml:space="preserve">작업</t>
        </is>
      </c>
      <c r="F71" s="589" t="inlineStr">
        <is>
          <t xml:space="preserve">공통</t>
        </is>
      </c>
      <c r="G71" s="598">
        <v>30</v>
      </c>
      <c r="H71" s="590">
        <v>1</v>
      </c>
      <c r="I71" s="589" t="inlineStr">
        <is>
          <t xml:space="preserve">건</t>
        </is>
      </c>
      <c r="J71" s="598">
        <v>4</v>
      </c>
      <c r="K71" s="589" t="inlineStr">
        <is>
          <t xml:space="preserve">매월</t>
        </is>
      </c>
      <c r="L71" s="598">
        <v>4</v>
      </c>
      <c r="M71" s="598">
        <v>2.3</v>
      </c>
      <c r="N71" s="598">
        <v>27.6</v>
      </c>
      <c r="O71" s="601">
        <v>0.0013</v>
      </c>
      <c r="P71" s="590">
        <v>19745.6522</v>
      </c>
      <c r="Q71" s="590">
        <v>36036</v>
      </c>
      <c r="R71" s="590">
        <v>4638</v>
      </c>
      <c r="S71" s="590">
        <v>1765</v>
      </c>
      <c r="T71" s="590">
        <v>2122</v>
      </c>
      <c r="U71" s="590">
        <v>854</v>
      </c>
      <c r="V71" s="590">
        <f>SUM(Q71:U71)</f>
        <v>45415</v>
      </c>
      <c r="W71" s="590">
        <f>V71*12</f>
        <v>544980</v>
      </c>
      <c r="X71" s="590">
        <v>11353.75</v>
      </c>
      <c r="Z71">
        <v>1</v>
      </c>
    </row>
    <row r="72">
      <c r="A72" s="589" t="inlineStr">
        <is>
          <t xml:space="preserve">C3-4</t>
        </is>
      </c>
      <c r="B72" s="589" t="inlineStr">
        <is>
          <t xml:space="preserve">상황대처</t>
        </is>
      </c>
      <c r="C72" s="589" t="inlineStr">
        <is>
          <t xml:space="preserve">침입·도난·범죄</t>
        </is>
      </c>
      <c r="D72" s="589" t="inlineStr">
        <is>
          <t xml:space="preserve">수상한 물건·거동 수상자 확인</t>
        </is>
      </c>
      <c r="E72" s="589" t="inlineStr">
        <is>
          <t xml:space="preserve">작업</t>
        </is>
      </c>
      <c r="F72" s="589" t="inlineStr">
        <is>
          <t xml:space="preserve">공통</t>
        </is>
      </c>
      <c r="G72" s="598">
        <v>15</v>
      </c>
      <c r="H72" s="590">
        <v>1</v>
      </c>
      <c r="I72" s="589" t="inlineStr">
        <is>
          <t xml:space="preserve">건</t>
        </is>
      </c>
      <c r="J72" s="598">
        <v>8</v>
      </c>
      <c r="K72" s="589" t="inlineStr">
        <is>
          <t xml:space="preserve">매월</t>
        </is>
      </c>
      <c r="L72" s="598">
        <v>8</v>
      </c>
      <c r="M72" s="598">
        <v>2.3</v>
      </c>
      <c r="N72" s="598">
        <v>27.6</v>
      </c>
      <c r="O72" s="601">
        <v>0.0013</v>
      </c>
      <c r="P72" s="590">
        <v>19745.6522</v>
      </c>
      <c r="Q72" s="590">
        <v>36036</v>
      </c>
      <c r="R72" s="590">
        <v>4638</v>
      </c>
      <c r="S72" s="590">
        <v>1765</v>
      </c>
      <c r="T72" s="590">
        <v>2122</v>
      </c>
      <c r="U72" s="590">
        <v>854</v>
      </c>
      <c r="V72" s="590">
        <f>SUM(Q72:U72)</f>
        <v>45415</v>
      </c>
      <c r="W72" s="590">
        <f>V72*12</f>
        <v>544980</v>
      </c>
      <c r="X72" s="590">
        <v>5676.875</v>
      </c>
      <c r="Z72">
        <v>1</v>
      </c>
    </row>
    <row r="73">
      <c r="A73" s="592" t="inlineStr">
        <is>
          <t xml:space="preserve">C4</t>
        </is>
      </c>
      <c r="B73" s="592" t="inlineStr">
        <is>
          <t xml:space="preserve">상황대처</t>
        </is>
      </c>
      <c r="C73" s="592" t="inlineStr">
        <is>
          <t xml:space="preserve">소란·민원·폭력</t>
        </is>
      </c>
      <c r="D73" s="592" t="inlineStr">
        <is>
          <t xml:space="preserve"/>
        </is>
      </c>
      <c r="E73" s="592" t="inlineStr">
        <is>
          <t xml:space="preserve">4개 업무</t>
        </is>
      </c>
      <c r="F73" s="592" t="inlineStr">
        <is>
          <t xml:space="preserve"/>
        </is>
      </c>
      <c r="G73" s="592"/>
      <c r="H73" s="592"/>
      <c r="I73" s="592"/>
      <c r="J73" s="592"/>
      <c r="K73" s="592"/>
      <c r="L73" s="592"/>
      <c r="M73" s="599">
        <v>18.63</v>
      </c>
      <c r="N73" s="599">
        <v>223.56</v>
      </c>
      <c r="O73" s="602">
        <v>0.0106</v>
      </c>
      <c r="P73" s="593">
        <v>19745.4643</v>
      </c>
      <c r="Q73" s="593">
        <v>291892</v>
      </c>
      <c r="R73" s="593">
        <v>37563</v>
      </c>
      <c r="S73" s="593">
        <v>14298</v>
      </c>
      <c r="T73" s="593">
        <v>17188</v>
      </c>
      <c r="U73" s="593">
        <v>6917</v>
      </c>
      <c r="V73" s="593">
        <f>SUM(Q73:U73)</f>
        <v>367858</v>
      </c>
      <c r="W73" s="593">
        <f>V73*12</f>
        <v>4414296</v>
      </c>
      <c r="X73" s="592"/>
      <c r="Z73">
        <v>0</v>
      </c>
    </row>
    <row r="74">
      <c r="A74" s="589" t="inlineStr">
        <is>
          <t xml:space="preserve">C4-1</t>
        </is>
      </c>
      <c r="B74" s="589" t="inlineStr">
        <is>
          <t xml:space="preserve">상황대처</t>
        </is>
      </c>
      <c r="C74" s="589" t="inlineStr">
        <is>
          <t xml:space="preserve">소란·민원·폭력</t>
        </is>
      </c>
      <c r="D74" s="589" t="inlineStr">
        <is>
          <t xml:space="preserve">소란·난동 발생 시 제지·분리</t>
        </is>
      </c>
      <c r="E74" s="589" t="inlineStr">
        <is>
          <t xml:space="preserve">작업</t>
        </is>
      </c>
      <c r="F74" s="589" t="inlineStr">
        <is>
          <t xml:space="preserve">공통</t>
        </is>
      </c>
      <c r="G74" s="598">
        <v>30</v>
      </c>
      <c r="H74" s="590">
        <v>1</v>
      </c>
      <c r="I74" s="589" t="inlineStr">
        <is>
          <t xml:space="preserve">건</t>
        </is>
      </c>
      <c r="J74" s="598">
        <v>1</v>
      </c>
      <c r="K74" s="589" t="inlineStr">
        <is>
          <t xml:space="preserve">매월</t>
        </is>
      </c>
      <c r="L74" s="598">
        <v>1</v>
      </c>
      <c r="M74" s="598">
        <v>0.575</v>
      </c>
      <c r="N74" s="598">
        <v>6.9</v>
      </c>
      <c r="O74" s="601">
        <v>0.0003</v>
      </c>
      <c r="P74" s="590">
        <v>19744.3478</v>
      </c>
      <c r="Q74" s="590">
        <v>9009</v>
      </c>
      <c r="R74" s="590">
        <v>1159</v>
      </c>
      <c r="S74" s="590">
        <v>441</v>
      </c>
      <c r="T74" s="590">
        <v>530</v>
      </c>
      <c r="U74" s="590">
        <v>214</v>
      </c>
      <c r="V74" s="590">
        <f>SUM(Q74:U74)</f>
        <v>11353</v>
      </c>
      <c r="W74" s="590">
        <f>V74*12</f>
        <v>136236</v>
      </c>
      <c r="X74" s="590">
        <v>11353</v>
      </c>
      <c r="Z74">
        <v>1</v>
      </c>
    </row>
    <row r="75">
      <c r="A75" s="589" t="inlineStr">
        <is>
          <t xml:space="preserve">C4-2</t>
        </is>
      </c>
      <c r="B75" s="589" t="inlineStr">
        <is>
          <t xml:space="preserve">상황대처</t>
        </is>
      </c>
      <c r="C75" s="589" t="inlineStr">
        <is>
          <t xml:space="preserve">소란·민원·폭력</t>
        </is>
      </c>
      <c r="D75" s="589" t="inlineStr">
        <is>
          <t xml:space="preserve">주취자·노숙인 대응</t>
        </is>
      </c>
      <c r="E75" s="589" t="inlineStr">
        <is>
          <t xml:space="preserve">작업</t>
        </is>
      </c>
      <c r="F75" s="589" t="inlineStr">
        <is>
          <t xml:space="preserve">공통</t>
        </is>
      </c>
      <c r="G75" s="598">
        <v>20</v>
      </c>
      <c r="H75" s="590">
        <v>1</v>
      </c>
      <c r="I75" s="589" t="inlineStr">
        <is>
          <t xml:space="preserve">건</t>
        </is>
      </c>
      <c r="J75" s="598">
        <v>1</v>
      </c>
      <c r="K75" s="589" t="inlineStr">
        <is>
          <t xml:space="preserve">매월</t>
        </is>
      </c>
      <c r="L75" s="598">
        <v>1</v>
      </c>
      <c r="M75" s="598">
        <v>0.3833</v>
      </c>
      <c r="N75" s="598">
        <v>4.6</v>
      </c>
      <c r="O75" s="601">
        <v>0.0002</v>
      </c>
      <c r="P75" s="590">
        <v>19745.2174</v>
      </c>
      <c r="Q75" s="590">
        <v>6006</v>
      </c>
      <c r="R75" s="590">
        <v>773</v>
      </c>
      <c r="S75" s="590">
        <v>294</v>
      </c>
      <c r="T75" s="590">
        <v>354</v>
      </c>
      <c r="U75" s="590">
        <v>142</v>
      </c>
      <c r="V75" s="590">
        <f>SUM(Q75:U75)</f>
        <v>7569</v>
      </c>
      <c r="W75" s="590">
        <f>V75*12</f>
        <v>90828</v>
      </c>
      <c r="X75" s="590">
        <v>7569</v>
      </c>
      <c r="Z75">
        <v>1</v>
      </c>
    </row>
    <row r="76">
      <c r="A76" s="589" t="inlineStr">
        <is>
          <t xml:space="preserve">C4-3</t>
        </is>
      </c>
      <c r="B76" s="589" t="inlineStr">
        <is>
          <t xml:space="preserve">상황대처</t>
        </is>
      </c>
      <c r="C76" s="589" t="inlineStr">
        <is>
          <t xml:space="preserve">소란·민원·폭력</t>
        </is>
      </c>
      <c r="D76" s="589" t="inlineStr">
        <is>
          <t xml:space="preserve">현장 민원 접수·응대</t>
        </is>
      </c>
      <c r="E76" s="589" t="inlineStr">
        <is>
          <t xml:space="preserve">작업</t>
        </is>
      </c>
      <c r="F76" s="589" t="inlineStr">
        <is>
          <t xml:space="preserve">공통</t>
        </is>
      </c>
      <c r="G76" s="598">
        <v>10</v>
      </c>
      <c r="H76" s="590">
        <v>3</v>
      </c>
      <c r="I76" s="589" t="inlineStr">
        <is>
          <t xml:space="preserve">건</t>
        </is>
      </c>
      <c r="J76" s="598">
        <v>1</v>
      </c>
      <c r="K76" s="589" t="inlineStr">
        <is>
          <t xml:space="preserve">매일</t>
        </is>
      </c>
      <c r="L76" s="598">
        <v>91.2</v>
      </c>
      <c r="M76" s="598">
        <v>17.48</v>
      </c>
      <c r="N76" s="598">
        <v>209.76</v>
      </c>
      <c r="O76" s="601">
        <v>0.01</v>
      </c>
      <c r="P76" s="590">
        <v>19745.5378</v>
      </c>
      <c r="Q76" s="590">
        <v>273874</v>
      </c>
      <c r="R76" s="590">
        <v>35245</v>
      </c>
      <c r="S76" s="590">
        <v>13416</v>
      </c>
      <c r="T76" s="590">
        <v>16127</v>
      </c>
      <c r="U76" s="590">
        <v>6490</v>
      </c>
      <c r="V76" s="590">
        <f>SUM(Q76:U76)</f>
        <v>345152</v>
      </c>
      <c r="W76" s="590">
        <f>V76*12</f>
        <v>4141824</v>
      </c>
      <c r="X76" s="590">
        <v>3784.5614</v>
      </c>
      <c r="Z76">
        <v>1</v>
      </c>
    </row>
    <row r="77">
      <c r="A77" s="589" t="inlineStr">
        <is>
          <t xml:space="preserve">C4-4</t>
        </is>
      </c>
      <c r="B77" s="589" t="inlineStr">
        <is>
          <t xml:space="preserve">상황대처</t>
        </is>
      </c>
      <c r="C77" s="589" t="inlineStr">
        <is>
          <t xml:space="preserve">소란·민원·폭력</t>
        </is>
      </c>
      <c r="D77" s="589" t="inlineStr">
        <is>
          <t xml:space="preserve">집회·시위 발생 시 출입 통제</t>
        </is>
      </c>
      <c r="E77" s="589" t="inlineStr">
        <is>
          <t xml:space="preserve">작업</t>
        </is>
      </c>
      <c r="F77" s="589" t="inlineStr">
        <is>
          <t xml:space="preserve">공통</t>
        </is>
      </c>
      <c r="G77" s="598">
        <v>120</v>
      </c>
      <c r="H77" s="590">
        <v>1</v>
      </c>
      <c r="I77" s="589" t="inlineStr">
        <is>
          <t xml:space="preserve">건</t>
        </is>
      </c>
      <c r="J77" s="598">
        <v>1</v>
      </c>
      <c r="K77" s="589" t="inlineStr">
        <is>
          <t xml:space="preserve">매년</t>
        </is>
      </c>
      <c r="L77" s="598">
        <v>0.0833</v>
      </c>
      <c r="M77" s="598">
        <v>0.1917</v>
      </c>
      <c r="N77" s="598">
        <v>2.3</v>
      </c>
      <c r="O77" s="601">
        <v>0.0001</v>
      </c>
      <c r="P77" s="590">
        <v>19742.6087</v>
      </c>
      <c r="Q77" s="590">
        <v>3003</v>
      </c>
      <c r="R77" s="590">
        <v>386</v>
      </c>
      <c r="S77" s="590">
        <v>147</v>
      </c>
      <c r="T77" s="590">
        <v>177</v>
      </c>
      <c r="U77" s="590">
        <v>71</v>
      </c>
      <c r="V77" s="590">
        <f>SUM(Q77:U77)</f>
        <v>3784</v>
      </c>
      <c r="W77" s="590">
        <f>V77*12</f>
        <v>45408</v>
      </c>
      <c r="X77" s="590">
        <v>45408</v>
      </c>
      <c r="Z77">
        <v>1</v>
      </c>
    </row>
    <row r="78">
      <c r="A78" s="592" t="inlineStr">
        <is>
          <t xml:space="preserve">C5</t>
        </is>
      </c>
      <c r="B78" s="592" t="inlineStr">
        <is>
          <t xml:space="preserve">상황대처</t>
        </is>
      </c>
      <c r="C78" s="592" t="inlineStr">
        <is>
          <t xml:space="preserve">설비 이상·재난</t>
        </is>
      </c>
      <c r="D78" s="592" t="inlineStr">
        <is>
          <t xml:space="preserve"/>
        </is>
      </c>
      <c r="E78" s="592" t="inlineStr">
        <is>
          <t xml:space="preserve">4개 업무</t>
        </is>
      </c>
      <c r="F78" s="592" t="inlineStr">
        <is>
          <t xml:space="preserve"/>
        </is>
      </c>
      <c r="G78" s="592"/>
      <c r="H78" s="592"/>
      <c r="I78" s="592"/>
      <c r="J78" s="592"/>
      <c r="K78" s="592"/>
      <c r="L78" s="592"/>
      <c r="M78" s="599">
        <v>3.7375</v>
      </c>
      <c r="N78" s="599">
        <v>44.85</v>
      </c>
      <c r="O78" s="602">
        <v>0.0021</v>
      </c>
      <c r="P78" s="593">
        <v>19745.5518</v>
      </c>
      <c r="Q78" s="593">
        <v>58559</v>
      </c>
      <c r="R78" s="593">
        <v>7535</v>
      </c>
      <c r="S78" s="593">
        <v>2869</v>
      </c>
      <c r="T78" s="593">
        <v>3449</v>
      </c>
      <c r="U78" s="593">
        <v>1387</v>
      </c>
      <c r="V78" s="593">
        <f>SUM(Q78:U78)</f>
        <v>73799</v>
      </c>
      <c r="W78" s="593">
        <f>V78*12</f>
        <v>885588</v>
      </c>
      <c r="X78" s="592"/>
      <c r="Z78">
        <v>0</v>
      </c>
    </row>
    <row r="79">
      <c r="A79" s="589" t="inlineStr">
        <is>
          <t xml:space="preserve">C5-1</t>
        </is>
      </c>
      <c r="B79" s="589" t="inlineStr">
        <is>
          <t xml:space="preserve">상황대처</t>
        </is>
      </c>
      <c r="C79" s="589" t="inlineStr">
        <is>
          <t xml:space="preserve">설비 이상·재난</t>
        </is>
      </c>
      <c r="D79" s="589" t="inlineStr">
        <is>
          <t xml:space="preserve">정전 시 비상조명 확인·설비팀 연락</t>
        </is>
      </c>
      <c r="E79" s="589" t="inlineStr">
        <is>
          <t xml:space="preserve">작업</t>
        </is>
      </c>
      <c r="F79" s="589" t="inlineStr">
        <is>
          <t xml:space="preserve">공통</t>
        </is>
      </c>
      <c r="G79" s="598">
        <v>30</v>
      </c>
      <c r="H79" s="590">
        <v>1</v>
      </c>
      <c r="I79" s="589" t="inlineStr">
        <is>
          <t xml:space="preserve">건</t>
        </is>
      </c>
      <c r="J79" s="598">
        <v>2</v>
      </c>
      <c r="K79" s="589" t="inlineStr">
        <is>
          <t xml:space="preserve">매년</t>
        </is>
      </c>
      <c r="L79" s="598">
        <v>0.1667</v>
      </c>
      <c r="M79" s="598">
        <v>0.0958</v>
      </c>
      <c r="N79" s="598">
        <v>1.15</v>
      </c>
      <c r="O79" s="601">
        <v>0.0001</v>
      </c>
      <c r="P79" s="590">
        <v>19753.0435</v>
      </c>
      <c r="Q79" s="590">
        <v>1502</v>
      </c>
      <c r="R79" s="590">
        <v>193</v>
      </c>
      <c r="S79" s="590">
        <v>74</v>
      </c>
      <c r="T79" s="590">
        <v>88</v>
      </c>
      <c r="U79" s="590">
        <v>36</v>
      </c>
      <c r="V79" s="590">
        <f>SUM(Q79:U79)</f>
        <v>1893</v>
      </c>
      <c r="W79" s="590">
        <f>V79*12</f>
        <v>22716</v>
      </c>
      <c r="X79" s="590">
        <v>11358</v>
      </c>
      <c r="Z79">
        <v>1</v>
      </c>
    </row>
    <row r="80">
      <c r="A80" s="589" t="inlineStr">
        <is>
          <t xml:space="preserve">C5-2</t>
        </is>
      </c>
      <c r="B80" s="589" t="inlineStr">
        <is>
          <t xml:space="preserve">상황대처</t>
        </is>
      </c>
      <c r="C80" s="589" t="inlineStr">
        <is>
          <t xml:space="preserve">설비 이상·재난</t>
        </is>
      </c>
      <c r="D80" s="589" t="inlineStr">
        <is>
          <t xml:space="preserve">누수·배관 파열 초동 조치</t>
        </is>
      </c>
      <c r="E80" s="589" t="inlineStr">
        <is>
          <t xml:space="preserve">작업</t>
        </is>
      </c>
      <c r="F80" s="589" t="inlineStr">
        <is>
          <t xml:space="preserve">공통</t>
        </is>
      </c>
      <c r="G80" s="598">
        <v>30</v>
      </c>
      <c r="H80" s="590">
        <v>1</v>
      </c>
      <c r="I80" s="589" t="inlineStr">
        <is>
          <t xml:space="preserve">건</t>
        </is>
      </c>
      <c r="J80" s="598">
        <v>3</v>
      </c>
      <c r="K80" s="589" t="inlineStr">
        <is>
          <t xml:space="preserve">매월</t>
        </is>
      </c>
      <c r="L80" s="598">
        <v>3</v>
      </c>
      <c r="M80" s="598">
        <v>1.725</v>
      </c>
      <c r="N80" s="598">
        <v>20.7</v>
      </c>
      <c r="O80" s="601">
        <v>0.001</v>
      </c>
      <c r="P80" s="590">
        <v>19745.5072</v>
      </c>
      <c r="Q80" s="590">
        <v>27027</v>
      </c>
      <c r="R80" s="590">
        <v>3478</v>
      </c>
      <c r="S80" s="590">
        <v>1324</v>
      </c>
      <c r="T80" s="590">
        <v>1592</v>
      </c>
      <c r="U80" s="590">
        <v>640</v>
      </c>
      <c r="V80" s="590">
        <f>SUM(Q80:U80)</f>
        <v>34061</v>
      </c>
      <c r="W80" s="590">
        <f>V80*12</f>
        <v>408732</v>
      </c>
      <c r="X80" s="590">
        <v>11353.6667</v>
      </c>
      <c r="Z80">
        <v>1</v>
      </c>
    </row>
    <row r="81">
      <c r="A81" s="589" t="inlineStr">
        <is>
          <t xml:space="preserve">C5-3</t>
        </is>
      </c>
      <c r="B81" s="589" t="inlineStr">
        <is>
          <t xml:space="preserve">상황대처</t>
        </is>
      </c>
      <c r="C81" s="589" t="inlineStr">
        <is>
          <t xml:space="preserve">설비 이상·재난</t>
        </is>
      </c>
      <c r="D81" s="589" t="inlineStr">
        <is>
          <t xml:space="preserve">가스·화학물질 누출 초동 조치</t>
        </is>
      </c>
      <c r="E81" s="589" t="inlineStr">
        <is>
          <t xml:space="preserve">작업</t>
        </is>
      </c>
      <c r="F81" s="589" t="inlineStr">
        <is>
          <t xml:space="preserve">공통</t>
        </is>
      </c>
      <c r="G81" s="598">
        <v>60</v>
      </c>
      <c r="H81" s="590">
        <v>1</v>
      </c>
      <c r="I81" s="589" t="inlineStr">
        <is>
          <t xml:space="preserve">건</t>
        </is>
      </c>
      <c r="J81" s="598">
        <v>2</v>
      </c>
      <c r="K81" s="589" t="inlineStr">
        <is>
          <t xml:space="preserve">매년</t>
        </is>
      </c>
      <c r="L81" s="598">
        <v>0.1667</v>
      </c>
      <c r="M81" s="598">
        <v>0.1917</v>
      </c>
      <c r="N81" s="598">
        <v>2.3</v>
      </c>
      <c r="O81" s="601">
        <v>0.0001</v>
      </c>
      <c r="P81" s="590">
        <v>19742.6087</v>
      </c>
      <c r="Q81" s="590">
        <v>3003</v>
      </c>
      <c r="R81" s="590">
        <v>386</v>
      </c>
      <c r="S81" s="590">
        <v>147</v>
      </c>
      <c r="T81" s="590">
        <v>177</v>
      </c>
      <c r="U81" s="590">
        <v>71</v>
      </c>
      <c r="V81" s="590">
        <f>SUM(Q81:U81)</f>
        <v>3784</v>
      </c>
      <c r="W81" s="590">
        <f>V81*12</f>
        <v>45408</v>
      </c>
      <c r="X81" s="590">
        <v>22704</v>
      </c>
      <c r="Z81">
        <v>1</v>
      </c>
    </row>
    <row r="82">
      <c r="A82" s="589" t="inlineStr">
        <is>
          <t xml:space="preserve">C5-4</t>
        </is>
      </c>
      <c r="B82" s="589" t="inlineStr">
        <is>
          <t xml:space="preserve">상황대처</t>
        </is>
      </c>
      <c r="C82" s="589" t="inlineStr">
        <is>
          <t xml:space="preserve">설비 이상·재난</t>
        </is>
      </c>
      <c r="D82" s="589" t="inlineStr">
        <is>
          <t xml:space="preserve">태풍·폭우 대비 시설물 결박·배수구 점검</t>
        </is>
      </c>
      <c r="E82" s="589" t="inlineStr">
        <is>
          <t xml:space="preserve">작업</t>
        </is>
      </c>
      <c r="F82" s="589" t="inlineStr">
        <is>
          <t xml:space="preserve">공통</t>
        </is>
      </c>
      <c r="G82" s="598">
        <v>60</v>
      </c>
      <c r="H82" s="590">
        <v>6</v>
      </c>
      <c r="I82" s="589" t="inlineStr">
        <is>
          <t xml:space="preserve">동</t>
        </is>
      </c>
      <c r="J82" s="598">
        <v>3</v>
      </c>
      <c r="K82" s="589" t="inlineStr">
        <is>
          <t xml:space="preserve">매년</t>
        </is>
      </c>
      <c r="L82" s="598">
        <v>1.5</v>
      </c>
      <c r="M82" s="598">
        <v>1.725</v>
      </c>
      <c r="N82" s="598">
        <v>20.7</v>
      </c>
      <c r="O82" s="601">
        <v>0.001</v>
      </c>
      <c r="P82" s="590">
        <v>19745.5072</v>
      </c>
      <c r="Q82" s="590">
        <v>27027</v>
      </c>
      <c r="R82" s="590">
        <v>3478</v>
      </c>
      <c r="S82" s="590">
        <v>1324</v>
      </c>
      <c r="T82" s="590">
        <v>1592</v>
      </c>
      <c r="U82" s="590">
        <v>640</v>
      </c>
      <c r="V82" s="590">
        <f>SUM(Q82:U82)</f>
        <v>34061</v>
      </c>
      <c r="W82" s="590">
        <f>V82*12</f>
        <v>408732</v>
      </c>
      <c r="X82" s="590">
        <v>22707.3333</v>
      </c>
      <c r="Z82">
        <v>1</v>
      </c>
    </row>
    <row r="83">
      <c r="A83" s="592" t="inlineStr">
        <is>
          <t xml:space="preserve">C6</t>
        </is>
      </c>
      <c r="B83" s="592" t="inlineStr">
        <is>
          <t xml:space="preserve">상황대처</t>
        </is>
      </c>
      <c r="C83" s="592" t="inlineStr">
        <is>
          <t xml:space="preserve">교통·주차 사고</t>
        </is>
      </c>
      <c r="D83" s="592" t="inlineStr">
        <is>
          <t xml:space="preserve"/>
        </is>
      </c>
      <c r="E83" s="592" t="inlineStr">
        <is>
          <t xml:space="preserve">2개 업무</t>
        </is>
      </c>
      <c r="F83" s="592" t="inlineStr">
        <is>
          <t xml:space="preserve"/>
        </is>
      </c>
      <c r="G83" s="592"/>
      <c r="H83" s="592"/>
      <c r="I83" s="592"/>
      <c r="J83" s="592"/>
      <c r="K83" s="592"/>
      <c r="L83" s="592"/>
      <c r="M83" s="599">
        <v>18.2467</v>
      </c>
      <c r="N83" s="599">
        <v>218.96</v>
      </c>
      <c r="O83" s="602">
        <v>0.0104</v>
      </c>
      <c r="P83" s="593">
        <v>19745.5791</v>
      </c>
      <c r="Q83" s="593">
        <v>285886</v>
      </c>
      <c r="R83" s="593">
        <v>36791</v>
      </c>
      <c r="S83" s="593">
        <v>14005</v>
      </c>
      <c r="T83" s="593">
        <v>16834</v>
      </c>
      <c r="U83" s="593">
        <v>6775</v>
      </c>
      <c r="V83" s="593">
        <f>SUM(Q83:U83)</f>
        <v>360291</v>
      </c>
      <c r="W83" s="593">
        <f>V83*12</f>
        <v>4323492</v>
      </c>
      <c r="X83" s="592"/>
      <c r="Z83">
        <v>0</v>
      </c>
    </row>
    <row r="84">
      <c r="A84" s="589" t="inlineStr">
        <is>
          <t xml:space="preserve">C6-1</t>
        </is>
      </c>
      <c r="B84" s="589" t="inlineStr">
        <is>
          <t xml:space="preserve">상황대처</t>
        </is>
      </c>
      <c r="C84" s="589" t="inlineStr">
        <is>
          <t xml:space="preserve">교통·주차 사고</t>
        </is>
      </c>
      <c r="D84" s="589" t="inlineStr">
        <is>
          <t xml:space="preserve">구내 교통사고 현장 통제·보고</t>
        </is>
      </c>
      <c r="E84" s="589" t="inlineStr">
        <is>
          <t xml:space="preserve">작업</t>
        </is>
      </c>
      <c r="F84" s="589" t="inlineStr">
        <is>
          <t xml:space="preserve">공통</t>
        </is>
      </c>
      <c r="G84" s="598">
        <v>40</v>
      </c>
      <c r="H84" s="590">
        <v>1</v>
      </c>
      <c r="I84" s="589" t="inlineStr">
        <is>
          <t xml:space="preserve">건</t>
        </is>
      </c>
      <c r="J84" s="598">
        <v>1</v>
      </c>
      <c r="K84" s="589" t="inlineStr">
        <is>
          <t xml:space="preserve">매월</t>
        </is>
      </c>
      <c r="L84" s="598">
        <v>1</v>
      </c>
      <c r="M84" s="598">
        <v>0.7667</v>
      </c>
      <c r="N84" s="598">
        <v>9.2</v>
      </c>
      <c r="O84" s="601">
        <v>0.0004</v>
      </c>
      <c r="P84" s="590">
        <v>19746.5217</v>
      </c>
      <c r="Q84" s="590">
        <v>12012</v>
      </c>
      <c r="R84" s="590">
        <v>1546</v>
      </c>
      <c r="S84" s="590">
        <v>589</v>
      </c>
      <c r="T84" s="590">
        <v>707</v>
      </c>
      <c r="U84" s="590">
        <v>285</v>
      </c>
      <c r="V84" s="590">
        <f>SUM(Q84:U84)</f>
        <v>15139</v>
      </c>
      <c r="W84" s="590">
        <f>V84*12</f>
        <v>181668</v>
      </c>
      <c r="X84" s="590">
        <v>15139</v>
      </c>
      <c r="Z84">
        <v>1</v>
      </c>
    </row>
    <row r="85">
      <c r="A85" s="589" t="inlineStr">
        <is>
          <t xml:space="preserve">C6-2</t>
        </is>
      </c>
      <c r="B85" s="589" t="inlineStr">
        <is>
          <t xml:space="preserve">상황대처</t>
        </is>
      </c>
      <c r="C85" s="589" t="inlineStr">
        <is>
          <t xml:space="preserve">교통·주차 사고</t>
        </is>
      </c>
      <c r="D85" s="589" t="inlineStr">
        <is>
          <t xml:space="preserve">통행 방해·불법주차 차량 조치</t>
        </is>
      </c>
      <c r="E85" s="589" t="inlineStr">
        <is>
          <t xml:space="preserve">작업</t>
        </is>
      </c>
      <c r="F85" s="589" t="inlineStr">
        <is>
          <t xml:space="preserve">공통</t>
        </is>
      </c>
      <c r="G85" s="598">
        <v>5</v>
      </c>
      <c r="H85" s="590">
        <v>6</v>
      </c>
      <c r="I85" s="589" t="inlineStr">
        <is>
          <t xml:space="preserve">건</t>
        </is>
      </c>
      <c r="J85" s="598">
        <v>1</v>
      </c>
      <c r="K85" s="589" t="inlineStr">
        <is>
          <t xml:space="preserve">매일</t>
        </is>
      </c>
      <c r="L85" s="598">
        <v>182.4</v>
      </c>
      <c r="M85" s="598">
        <v>17.48</v>
      </c>
      <c r="N85" s="598">
        <v>209.76</v>
      </c>
      <c r="O85" s="601">
        <v>0.01</v>
      </c>
      <c r="P85" s="590">
        <v>19745.5378</v>
      </c>
      <c r="Q85" s="590">
        <v>273874</v>
      </c>
      <c r="R85" s="590">
        <v>35245</v>
      </c>
      <c r="S85" s="590">
        <v>13416</v>
      </c>
      <c r="T85" s="590">
        <v>16127</v>
      </c>
      <c r="U85" s="590">
        <v>6490</v>
      </c>
      <c r="V85" s="590">
        <f>SUM(Q85:U85)</f>
        <v>345152</v>
      </c>
      <c r="W85" s="590">
        <f>V85*12</f>
        <v>4141824</v>
      </c>
      <c r="X85" s="590">
        <v>1892.2807</v>
      </c>
      <c r="Z85">
        <v>1</v>
      </c>
    </row>
    <row r="86">
      <c r="A86" s="592" t="inlineStr">
        <is>
          <t xml:space="preserve">D</t>
        </is>
      </c>
      <c r="B86" s="592" t="inlineStr">
        <is>
          <t xml:space="preserve">관제·방재</t>
        </is>
      </c>
      <c r="C86" s="592" t="inlineStr">
        <is>
          <t xml:space="preserve"/>
        </is>
      </c>
      <c r="D86" s="592" t="inlineStr">
        <is>
          <t xml:space="preserve"/>
        </is>
      </c>
      <c r="E86" s="592" t="inlineStr">
        <is>
          <t xml:space="preserve">9개 업무</t>
        </is>
      </c>
      <c r="F86" s="592" t="inlineStr">
        <is>
          <t xml:space="preserve"/>
        </is>
      </c>
      <c r="G86" s="592"/>
      <c r="H86" s="592"/>
      <c r="I86" s="592"/>
      <c r="J86" s="592"/>
      <c r="K86" s="592"/>
      <c r="L86" s="592"/>
      <c r="M86" s="599">
        <v>85.3848</v>
      </c>
      <c r="N86" s="599">
        <v>1024.6171</v>
      </c>
      <c r="O86" s="602">
        <v>0.0487</v>
      </c>
      <c r="P86" s="593">
        <v>19745.631</v>
      </c>
      <c r="Q86" s="593">
        <v>1337799</v>
      </c>
      <c r="R86" s="593">
        <v>172163</v>
      </c>
      <c r="S86" s="593">
        <v>65535</v>
      </c>
      <c r="T86" s="593">
        <v>78776</v>
      </c>
      <c r="U86" s="593">
        <v>31703</v>
      </c>
      <c r="V86" s="593">
        <f>SUM(Q86:U86)</f>
        <v>1685976</v>
      </c>
      <c r="W86" s="593">
        <f>V86*12</f>
        <v>20231712</v>
      </c>
      <c r="X86" s="592"/>
      <c r="Z86">
        <v>0</v>
      </c>
    </row>
    <row r="87">
      <c r="A87" s="592" t="inlineStr">
        <is>
          <t xml:space="preserve">D1</t>
        </is>
      </c>
      <c r="B87" s="592" t="inlineStr">
        <is>
          <t xml:space="preserve">관제·방재</t>
        </is>
      </c>
      <c r="C87" s="592" t="inlineStr">
        <is>
          <t xml:space="preserve">CCTV 관제</t>
        </is>
      </c>
      <c r="D87" s="592" t="inlineStr">
        <is>
          <t xml:space="preserve"/>
        </is>
      </c>
      <c r="E87" s="592" t="inlineStr">
        <is>
          <t xml:space="preserve">3개 업무</t>
        </is>
      </c>
      <c r="F87" s="592" t="inlineStr">
        <is>
          <t xml:space="preserve"/>
        </is>
      </c>
      <c r="G87" s="592"/>
      <c r="H87" s="592"/>
      <c r="I87" s="592"/>
      <c r="J87" s="592"/>
      <c r="K87" s="592"/>
      <c r="L87" s="592"/>
      <c r="M87" s="599">
        <v>47.254</v>
      </c>
      <c r="N87" s="599">
        <v>567.0486</v>
      </c>
      <c r="O87" s="602">
        <v>0.027</v>
      </c>
      <c r="P87" s="593">
        <v>19745.6524</v>
      </c>
      <c r="Q87" s="593">
        <v>740371</v>
      </c>
      <c r="R87" s="593">
        <v>95280</v>
      </c>
      <c r="S87" s="593">
        <v>36269</v>
      </c>
      <c r="T87" s="593">
        <v>43597</v>
      </c>
      <c r="U87" s="593">
        <v>17545</v>
      </c>
      <c r="V87" s="593">
        <f>SUM(Q87:U87)</f>
        <v>933062</v>
      </c>
      <c r="W87" s="593">
        <f>V87*12</f>
        <v>11196744</v>
      </c>
      <c r="X87" s="592"/>
      <c r="Z87">
        <v>0</v>
      </c>
    </row>
    <row r="88">
      <c r="A88" s="589" t="inlineStr">
        <is>
          <t xml:space="preserve">D1-1</t>
        </is>
      </c>
      <c r="B88" s="589" t="inlineStr">
        <is>
          <t xml:space="preserve">관제·방재</t>
        </is>
      </c>
      <c r="C88" s="589" t="inlineStr">
        <is>
          <t xml:space="preserve">CCTV 관제</t>
        </is>
      </c>
      <c r="D88" s="589" t="inlineStr">
        <is>
          <t xml:space="preserve">CCTV 모니터링 (정문 초소 겸무)</t>
        </is>
      </c>
      <c r="E88" s="589" t="inlineStr">
        <is>
          <t xml:space="preserve">작업</t>
        </is>
      </c>
      <c r="F88" s="589" t="inlineStr">
        <is>
          <t xml:space="preserve">공통</t>
        </is>
      </c>
      <c r="G88" s="598">
        <v>10</v>
      </c>
      <c r="H88" s="590">
        <v>1</v>
      </c>
      <c r="I88" s="589" t="inlineStr">
        <is>
          <t xml:space="preserve">회</t>
        </is>
      </c>
      <c r="J88" s="598">
        <v>6</v>
      </c>
      <c r="K88" s="589" t="inlineStr">
        <is>
          <t xml:space="preserve">매일</t>
        </is>
      </c>
      <c r="L88" s="598">
        <v>182.4</v>
      </c>
      <c r="M88" s="598">
        <v>34.96</v>
      </c>
      <c r="N88" s="598">
        <v>419.52</v>
      </c>
      <c r="O88" s="601">
        <v>0.0199</v>
      </c>
      <c r="P88" s="590">
        <v>19745.6236</v>
      </c>
      <c r="Q88" s="590">
        <v>547749</v>
      </c>
      <c r="R88" s="590">
        <v>70491</v>
      </c>
      <c r="S88" s="590">
        <v>26833</v>
      </c>
      <c r="T88" s="590">
        <v>32254</v>
      </c>
      <c r="U88" s="590">
        <v>12980</v>
      </c>
      <c r="V88" s="590">
        <f>SUM(Q88:U88)</f>
        <v>690307</v>
      </c>
      <c r="W88" s="590">
        <f>V88*12</f>
        <v>8283684</v>
      </c>
      <c r="X88" s="590">
        <v>3784.5779</v>
      </c>
      <c r="Z88">
        <v>1</v>
      </c>
    </row>
    <row r="89">
      <c r="A89" s="589" t="inlineStr">
        <is>
          <t xml:space="preserve">D1-2</t>
        </is>
      </c>
      <c r="B89" s="589" t="inlineStr">
        <is>
          <t xml:space="preserve">관제·방재</t>
        </is>
      </c>
      <c r="C89" s="589" t="inlineStr">
        <is>
          <t xml:space="preserve">CCTV 관제</t>
        </is>
      </c>
      <c r="D89" s="589" t="inlineStr">
        <is>
          <t xml:space="preserve">CCTV 녹화 상태·카메라 점검</t>
        </is>
      </c>
      <c r="E89" s="589" t="inlineStr">
        <is>
          <t xml:space="preserve">작업</t>
        </is>
      </c>
      <c r="F89" s="589" t="inlineStr">
        <is>
          <t xml:space="preserve">공통</t>
        </is>
      </c>
      <c r="G89" s="598">
        <v>1</v>
      </c>
      <c r="H89" s="590">
        <v>120</v>
      </c>
      <c r="I89" s="589" t="inlineStr">
        <is>
          <t xml:space="preserve">대</t>
        </is>
      </c>
      <c r="J89" s="598">
        <v>1</v>
      </c>
      <c r="K89" s="589" t="inlineStr">
        <is>
          <t xml:space="preserve">매주</t>
        </is>
      </c>
      <c r="L89" s="598">
        <v>521.4286</v>
      </c>
      <c r="M89" s="598">
        <v>9.994</v>
      </c>
      <c r="N89" s="598">
        <v>119.9286</v>
      </c>
      <c r="O89" s="601">
        <v>0.0057</v>
      </c>
      <c r="P89" s="590">
        <v>19745.7534</v>
      </c>
      <c r="Q89" s="590">
        <v>156586</v>
      </c>
      <c r="R89" s="590">
        <v>20151</v>
      </c>
      <c r="S89" s="590">
        <v>7671</v>
      </c>
      <c r="T89" s="590">
        <v>9221</v>
      </c>
      <c r="U89" s="590">
        <v>3711</v>
      </c>
      <c r="V89" s="590">
        <f>SUM(Q89:U89)</f>
        <v>197340</v>
      </c>
      <c r="W89" s="590">
        <f>V89*12</f>
        <v>2368080</v>
      </c>
      <c r="X89" s="590">
        <v>378.4603</v>
      </c>
      <c r="Z89">
        <v>1</v>
      </c>
    </row>
    <row r="90">
      <c r="A90" s="589" t="inlineStr">
        <is>
          <t xml:space="preserve">D1-3</t>
        </is>
      </c>
      <c r="B90" s="589" t="inlineStr">
        <is>
          <t xml:space="preserve">관제·방재</t>
        </is>
      </c>
      <c r="C90" s="589" t="inlineStr">
        <is>
          <t xml:space="preserve">CCTV 관제</t>
        </is>
      </c>
      <c r="D90" s="589" t="inlineStr">
        <is>
          <t xml:space="preserve">영상 열람·반출 요청 처리</t>
        </is>
      </c>
      <c r="E90" s="589" t="inlineStr">
        <is>
          <t xml:space="preserve">작업</t>
        </is>
      </c>
      <c r="F90" s="589" t="inlineStr">
        <is>
          <t xml:space="preserve">공통</t>
        </is>
      </c>
      <c r="G90" s="598">
        <v>30</v>
      </c>
      <c r="H90" s="590">
        <v>1</v>
      </c>
      <c r="I90" s="589" t="inlineStr">
        <is>
          <t xml:space="preserve">건</t>
        </is>
      </c>
      <c r="J90" s="598">
        <v>4</v>
      </c>
      <c r="K90" s="589" t="inlineStr">
        <is>
          <t xml:space="preserve">매월</t>
        </is>
      </c>
      <c r="L90" s="598">
        <v>4</v>
      </c>
      <c r="M90" s="598">
        <v>2.3</v>
      </c>
      <c r="N90" s="598">
        <v>27.6</v>
      </c>
      <c r="O90" s="601">
        <v>0.0013</v>
      </c>
      <c r="P90" s="590">
        <v>19745.6522</v>
      </c>
      <c r="Q90" s="590">
        <v>36036</v>
      </c>
      <c r="R90" s="590">
        <v>4638</v>
      </c>
      <c r="S90" s="590">
        <v>1765</v>
      </c>
      <c r="T90" s="590">
        <v>2122</v>
      </c>
      <c r="U90" s="590">
        <v>854</v>
      </c>
      <c r="V90" s="590">
        <f>SUM(Q90:U90)</f>
        <v>45415</v>
      </c>
      <c r="W90" s="590">
        <f>V90*12</f>
        <v>544980</v>
      </c>
      <c r="X90" s="590">
        <v>11353.75</v>
      </c>
      <c r="Z90">
        <v>1</v>
      </c>
    </row>
    <row r="91">
      <c r="A91" s="592" t="inlineStr">
        <is>
          <t xml:space="preserve">D2</t>
        </is>
      </c>
      <c r="B91" s="592" t="inlineStr">
        <is>
          <t xml:space="preserve">관제·방재</t>
        </is>
      </c>
      <c r="C91" s="592" t="inlineStr">
        <is>
          <t xml:space="preserve">방재·설비 감시</t>
        </is>
      </c>
      <c r="D91" s="592" t="inlineStr">
        <is>
          <t xml:space="preserve"/>
        </is>
      </c>
      <c r="E91" s="592" t="inlineStr">
        <is>
          <t xml:space="preserve">3개 업무</t>
        </is>
      </c>
      <c r="F91" s="592" t="inlineStr">
        <is>
          <t xml:space="preserve"/>
        </is>
      </c>
      <c r="G91" s="592"/>
      <c r="H91" s="592"/>
      <c r="I91" s="592"/>
      <c r="J91" s="592"/>
      <c r="K91" s="592"/>
      <c r="L91" s="592"/>
      <c r="M91" s="599">
        <v>32.0467</v>
      </c>
      <c r="N91" s="599">
        <v>384.56</v>
      </c>
      <c r="O91" s="602">
        <v>0.0183</v>
      </c>
      <c r="P91" s="593">
        <v>19745.5794</v>
      </c>
      <c r="Q91" s="593">
        <v>502103</v>
      </c>
      <c r="R91" s="593">
        <v>64616</v>
      </c>
      <c r="S91" s="593">
        <v>24596</v>
      </c>
      <c r="T91" s="593">
        <v>29566</v>
      </c>
      <c r="U91" s="593">
        <v>11899</v>
      </c>
      <c r="V91" s="593">
        <f>SUM(Q91:U91)</f>
        <v>632780</v>
      </c>
      <c r="W91" s="593">
        <f>V91*12</f>
        <v>7593360</v>
      </c>
      <c r="X91" s="592"/>
      <c r="Z91">
        <v>0</v>
      </c>
    </row>
    <row r="92">
      <c r="A92" s="589" t="inlineStr">
        <is>
          <t xml:space="preserve">D2-1</t>
        </is>
      </c>
      <c r="B92" s="589" t="inlineStr">
        <is>
          <t xml:space="preserve">관제·방재</t>
        </is>
      </c>
      <c r="C92" s="589" t="inlineStr">
        <is>
          <t xml:space="preserve">방재·설비 감시</t>
        </is>
      </c>
      <c r="D92" s="589" t="inlineStr">
        <is>
          <t xml:space="preserve">화재수신기·방재반 감시 기록</t>
        </is>
      </c>
      <c r="E92" s="589" t="inlineStr">
        <is>
          <t xml:space="preserve">작업</t>
        </is>
      </c>
      <c r="F92" s="589" t="inlineStr">
        <is>
          <t xml:space="preserve">공통</t>
        </is>
      </c>
      <c r="G92" s="598">
        <v>10</v>
      </c>
      <c r="H92" s="590">
        <v>1</v>
      </c>
      <c r="I92" s="589" t="inlineStr">
        <is>
          <t xml:space="preserve">회</t>
        </is>
      </c>
      <c r="J92" s="598">
        <v>3</v>
      </c>
      <c r="K92" s="589" t="inlineStr">
        <is>
          <t xml:space="preserve">매일</t>
        </is>
      </c>
      <c r="L92" s="598">
        <v>91.2</v>
      </c>
      <c r="M92" s="598">
        <v>17.48</v>
      </c>
      <c r="N92" s="598">
        <v>209.76</v>
      </c>
      <c r="O92" s="601">
        <v>0.01</v>
      </c>
      <c r="P92" s="590">
        <v>19745.5378</v>
      </c>
      <c r="Q92" s="590">
        <v>273874</v>
      </c>
      <c r="R92" s="590">
        <v>35245</v>
      </c>
      <c r="S92" s="590">
        <v>13416</v>
      </c>
      <c r="T92" s="590">
        <v>16127</v>
      </c>
      <c r="U92" s="590">
        <v>6490</v>
      </c>
      <c r="V92" s="590">
        <f>SUM(Q92:U92)</f>
        <v>345152</v>
      </c>
      <c r="W92" s="590">
        <f>V92*12</f>
        <v>4141824</v>
      </c>
      <c r="X92" s="590">
        <v>3784.5614</v>
      </c>
      <c r="Z92">
        <v>1</v>
      </c>
    </row>
    <row r="93">
      <c r="A93" s="589" t="inlineStr">
        <is>
          <t xml:space="preserve">D2-2</t>
        </is>
      </c>
      <c r="B93" s="589" t="inlineStr">
        <is>
          <t xml:space="preserve">관제·방재</t>
        </is>
      </c>
      <c r="C93" s="589" t="inlineStr">
        <is>
          <t xml:space="preserve">방재·설비 감시</t>
        </is>
      </c>
      <c r="D93" s="589" t="inlineStr">
        <is>
          <t xml:space="preserve">무인경비·침입감지 알람 확인</t>
        </is>
      </c>
      <c r="E93" s="589" t="inlineStr">
        <is>
          <t xml:space="preserve">작업</t>
        </is>
      </c>
      <c r="F93" s="589" t="inlineStr">
        <is>
          <t xml:space="preserve">공통</t>
        </is>
      </c>
      <c r="G93" s="598">
        <v>10</v>
      </c>
      <c r="H93" s="590">
        <v>1</v>
      </c>
      <c r="I93" s="589" t="inlineStr">
        <is>
          <t xml:space="preserve">건</t>
        </is>
      </c>
      <c r="J93" s="598">
        <v>2</v>
      </c>
      <c r="K93" s="589" t="inlineStr">
        <is>
          <t xml:space="preserve">매일</t>
        </is>
      </c>
      <c r="L93" s="598">
        <v>60.8</v>
      </c>
      <c r="M93" s="598">
        <v>11.6533</v>
      </c>
      <c r="N93" s="598">
        <v>139.84</v>
      </c>
      <c r="O93" s="601">
        <v>0.0066</v>
      </c>
      <c r="P93" s="590">
        <v>19745.595</v>
      </c>
      <c r="Q93" s="590">
        <v>182583</v>
      </c>
      <c r="R93" s="590">
        <v>23497</v>
      </c>
      <c r="S93" s="590">
        <v>8944</v>
      </c>
      <c r="T93" s="590">
        <v>10751</v>
      </c>
      <c r="U93" s="590">
        <v>4327</v>
      </c>
      <c r="V93" s="590">
        <f>SUM(Q93:U93)</f>
        <v>230102</v>
      </c>
      <c r="W93" s="590">
        <f>V93*12</f>
        <v>2761224</v>
      </c>
      <c r="X93" s="590">
        <v>3784.5724</v>
      </c>
      <c r="Z93">
        <v>1</v>
      </c>
    </row>
    <row r="94">
      <c r="A94" s="589" t="inlineStr">
        <is>
          <t xml:space="preserve">D2-3</t>
        </is>
      </c>
      <c r="B94" s="589" t="inlineStr">
        <is>
          <t xml:space="preserve">관제·방재</t>
        </is>
      </c>
      <c r="C94" s="589" t="inlineStr">
        <is>
          <t xml:space="preserve">방재·설비 감시</t>
        </is>
      </c>
      <c r="D94" s="589" t="inlineStr">
        <is>
          <t xml:space="preserve">비상방송·안내방송 송출</t>
        </is>
      </c>
      <c r="E94" s="589" t="inlineStr">
        <is>
          <t xml:space="preserve">작업</t>
        </is>
      </c>
      <c r="F94" s="589" t="inlineStr">
        <is>
          <t xml:space="preserve">공통</t>
        </is>
      </c>
      <c r="G94" s="598">
        <v>5</v>
      </c>
      <c r="H94" s="590">
        <v>1</v>
      </c>
      <c r="I94" s="589" t="inlineStr">
        <is>
          <t xml:space="preserve">회</t>
        </is>
      </c>
      <c r="J94" s="598">
        <v>1</v>
      </c>
      <c r="K94" s="589" t="inlineStr">
        <is>
          <t xml:space="preserve">매일</t>
        </is>
      </c>
      <c r="L94" s="598">
        <v>30.4</v>
      </c>
      <c r="M94" s="598">
        <v>2.9133</v>
      </c>
      <c r="N94" s="598">
        <v>34.96</v>
      </c>
      <c r="O94" s="601">
        <v>0.0017</v>
      </c>
      <c r="P94" s="590">
        <v>19745.7666</v>
      </c>
      <c r="Q94" s="590">
        <v>45646</v>
      </c>
      <c r="R94" s="590">
        <v>5874</v>
      </c>
      <c r="S94" s="590">
        <v>2236</v>
      </c>
      <c r="T94" s="590">
        <v>2688</v>
      </c>
      <c r="U94" s="590">
        <v>1082</v>
      </c>
      <c r="V94" s="590">
        <f>SUM(Q94:U94)</f>
        <v>57526</v>
      </c>
      <c r="W94" s="590">
        <f>V94*12</f>
        <v>690312</v>
      </c>
      <c r="X94" s="590">
        <v>1892.3026</v>
      </c>
      <c r="Z94">
        <v>1</v>
      </c>
    </row>
    <row r="95">
      <c r="A95" s="592" t="inlineStr">
        <is>
          <t xml:space="preserve">D3</t>
        </is>
      </c>
      <c r="B95" s="592" t="inlineStr">
        <is>
          <t xml:space="preserve">관제·방재</t>
        </is>
      </c>
      <c r="C95" s="592" t="inlineStr">
        <is>
          <t xml:space="preserve">소방시설 일상점검</t>
        </is>
      </c>
      <c r="D95" s="592" t="inlineStr">
        <is>
          <t xml:space="preserve"/>
        </is>
      </c>
      <c r="E95" s="592" t="inlineStr">
        <is>
          <t xml:space="preserve">3개 업무</t>
        </is>
      </c>
      <c r="F95" s="592" t="inlineStr">
        <is>
          <t xml:space="preserve"/>
        </is>
      </c>
      <c r="G95" s="592"/>
      <c r="H95" s="592"/>
      <c r="I95" s="592"/>
      <c r="J95" s="592"/>
      <c r="K95" s="592"/>
      <c r="L95" s="592"/>
      <c r="M95" s="599">
        <v>6.084</v>
      </c>
      <c r="N95" s="599">
        <v>73.0086</v>
      </c>
      <c r="O95" s="602">
        <v>0.0035</v>
      </c>
      <c r="P95" s="593">
        <v>19745.7363</v>
      </c>
      <c r="Q95" s="593">
        <v>95325</v>
      </c>
      <c r="R95" s="593">
        <v>12267</v>
      </c>
      <c r="S95" s="593">
        <v>4670</v>
      </c>
      <c r="T95" s="593">
        <v>5613</v>
      </c>
      <c r="U95" s="593">
        <v>2259</v>
      </c>
      <c r="V95" s="593">
        <f>SUM(Q95:U95)</f>
        <v>120134</v>
      </c>
      <c r="W95" s="593">
        <f>V95*12</f>
        <v>1441608</v>
      </c>
      <c r="X95" s="592"/>
      <c r="Z95">
        <v>0</v>
      </c>
    </row>
    <row r="96">
      <c r="A96" s="589" t="inlineStr">
        <is>
          <t xml:space="preserve">D3-1</t>
        </is>
      </c>
      <c r="B96" s="589" t="inlineStr">
        <is>
          <t xml:space="preserve">관제·방재</t>
        </is>
      </c>
      <c r="C96" s="589" t="inlineStr">
        <is>
          <t xml:space="preserve">소방시설 일상점검</t>
        </is>
      </c>
      <c r="D96" s="589" t="inlineStr">
        <is>
          <t xml:space="preserve">소화기·옥내소화전 외관 점검</t>
        </is>
      </c>
      <c r="E96" s="589" t="inlineStr">
        <is>
          <t xml:space="preserve">작업</t>
        </is>
      </c>
      <c r="F96" s="589" t="inlineStr">
        <is>
          <t xml:space="preserve">공통</t>
        </is>
      </c>
      <c r="G96" s="598">
        <v>1</v>
      </c>
      <c r="H96" s="590">
        <v>125</v>
      </c>
      <c r="I96" s="589" t="inlineStr">
        <is>
          <t xml:space="preserve">개</t>
        </is>
      </c>
      <c r="J96" s="598">
        <v>1</v>
      </c>
      <c r="K96" s="589" t="inlineStr">
        <is>
          <t xml:space="preserve">매월</t>
        </is>
      </c>
      <c r="L96" s="598">
        <v>125</v>
      </c>
      <c r="M96" s="598">
        <v>2.3958</v>
      </c>
      <c r="N96" s="598">
        <v>28.75</v>
      </c>
      <c r="O96" s="601">
        <v>0.0014</v>
      </c>
      <c r="P96" s="590">
        <v>19745.9478</v>
      </c>
      <c r="Q96" s="590">
        <v>37538</v>
      </c>
      <c r="R96" s="590">
        <v>4831</v>
      </c>
      <c r="S96" s="590">
        <v>1839</v>
      </c>
      <c r="T96" s="590">
        <v>2210</v>
      </c>
      <c r="U96" s="590">
        <v>890</v>
      </c>
      <c r="V96" s="590">
        <f>SUM(Q96:U96)</f>
        <v>47308</v>
      </c>
      <c r="W96" s="590">
        <f>V96*12</f>
        <v>567696</v>
      </c>
      <c r="X96" s="590">
        <v>378.464</v>
      </c>
      <c r="Z96">
        <v>1</v>
      </c>
    </row>
    <row r="97">
      <c r="A97" s="589" t="inlineStr">
        <is>
          <t xml:space="preserve">D3-2</t>
        </is>
      </c>
      <c r="B97" s="589" t="inlineStr">
        <is>
          <t xml:space="preserve">관제·방재</t>
        </is>
      </c>
      <c r="C97" s="589" t="inlineStr">
        <is>
          <t xml:space="preserve">소방시설 일상점검</t>
        </is>
      </c>
      <c r="D97" s="589" t="inlineStr">
        <is>
          <t xml:space="preserve">방화문·피난통로 적치물 확인</t>
        </is>
      </c>
      <c r="E97" s="589" t="inlineStr">
        <is>
          <t xml:space="preserve">작업</t>
        </is>
      </c>
      <c r="F97" s="589" t="inlineStr">
        <is>
          <t xml:space="preserve">공통</t>
        </is>
      </c>
      <c r="G97" s="598">
        <v>2</v>
      </c>
      <c r="H97" s="590">
        <v>18</v>
      </c>
      <c r="I97" s="589" t="inlineStr">
        <is>
          <t xml:space="preserve">층</t>
        </is>
      </c>
      <c r="J97" s="598">
        <v>1</v>
      </c>
      <c r="K97" s="589" t="inlineStr">
        <is>
          <t xml:space="preserve">매주</t>
        </is>
      </c>
      <c r="L97" s="598">
        <v>78.2143</v>
      </c>
      <c r="M97" s="598">
        <v>2.9982</v>
      </c>
      <c r="N97" s="598">
        <v>35.9786</v>
      </c>
      <c r="O97" s="601">
        <v>0.0017</v>
      </c>
      <c r="P97" s="590">
        <v>19745.4199</v>
      </c>
      <c r="Q97" s="590">
        <v>46976</v>
      </c>
      <c r="R97" s="590">
        <v>6045</v>
      </c>
      <c r="S97" s="590">
        <v>2301</v>
      </c>
      <c r="T97" s="590">
        <v>2766</v>
      </c>
      <c r="U97" s="590">
        <v>1113</v>
      </c>
      <c r="V97" s="590">
        <f>SUM(Q97:U97)</f>
        <v>59201</v>
      </c>
      <c r="W97" s="590">
        <f>V97*12</f>
        <v>710412</v>
      </c>
      <c r="X97" s="590">
        <v>756.9078</v>
      </c>
      <c r="Z97">
        <v>1</v>
      </c>
    </row>
    <row r="98">
      <c r="A98" s="589" t="inlineStr">
        <is>
          <t xml:space="preserve">D3-3</t>
        </is>
      </c>
      <c r="B98" s="589" t="inlineStr">
        <is>
          <t xml:space="preserve">관제·방재</t>
        </is>
      </c>
      <c r="C98" s="589" t="inlineStr">
        <is>
          <t xml:space="preserve">소방시설 일상점검</t>
        </is>
      </c>
      <c r="D98" s="589" t="inlineStr">
        <is>
          <t xml:space="preserve">유도등·비상조명 점등 확인</t>
        </is>
      </c>
      <c r="E98" s="589" t="inlineStr">
        <is>
          <t xml:space="preserve">작업</t>
        </is>
      </c>
      <c r="F98" s="589" t="inlineStr">
        <is>
          <t xml:space="preserve">공통</t>
        </is>
      </c>
      <c r="G98" s="598">
        <v>0.5</v>
      </c>
      <c r="H98" s="590">
        <v>72</v>
      </c>
      <c r="I98" s="589" t="inlineStr">
        <is>
          <t xml:space="preserve">개</t>
        </is>
      </c>
      <c r="J98" s="598">
        <v>1</v>
      </c>
      <c r="K98" s="589" t="inlineStr">
        <is>
          <t xml:space="preserve">매월</t>
        </is>
      </c>
      <c r="L98" s="598">
        <v>72</v>
      </c>
      <c r="M98" s="598">
        <v>0.69</v>
      </c>
      <c r="N98" s="598">
        <v>8.28</v>
      </c>
      <c r="O98" s="601">
        <v>0.0004</v>
      </c>
      <c r="P98" s="590">
        <v>19746.3768</v>
      </c>
      <c r="Q98" s="590">
        <v>10811</v>
      </c>
      <c r="R98" s="590">
        <v>1391</v>
      </c>
      <c r="S98" s="590">
        <v>530</v>
      </c>
      <c r="T98" s="590">
        <v>637</v>
      </c>
      <c r="U98" s="590">
        <v>256</v>
      </c>
      <c r="V98" s="590">
        <f>SUM(Q98:U98)</f>
        <v>13625</v>
      </c>
      <c r="W98" s="590">
        <f>V98*12</f>
        <v>163500</v>
      </c>
      <c r="X98" s="590">
        <v>189.2361</v>
      </c>
      <c r="Z98">
        <v>1</v>
      </c>
    </row>
    <row r="99">
      <c r="A99" s="592" t="inlineStr">
        <is>
          <t xml:space="preserve">E</t>
        </is>
      </c>
      <c r="B99" s="592" t="inlineStr">
        <is>
          <t xml:space="preserve">고객사 업무 지원</t>
        </is>
      </c>
      <c r="C99" s="592" t="inlineStr">
        <is>
          <t xml:space="preserve"/>
        </is>
      </c>
      <c r="D99" s="592" t="inlineStr">
        <is>
          <t xml:space="preserve"/>
        </is>
      </c>
      <c r="E99" s="592" t="inlineStr">
        <is>
          <t xml:space="preserve">11개 업무</t>
        </is>
      </c>
      <c r="F99" s="592" t="inlineStr">
        <is>
          <t xml:space="preserve"/>
        </is>
      </c>
      <c r="G99" s="592"/>
      <c r="H99" s="592"/>
      <c r="I99" s="592"/>
      <c r="J99" s="592"/>
      <c r="K99" s="592"/>
      <c r="L99" s="592"/>
      <c r="M99" s="599">
        <v>118.6394</v>
      </c>
      <c r="N99" s="599">
        <v>1423.6726</v>
      </c>
      <c r="O99" s="602">
        <v>0.0677</v>
      </c>
      <c r="P99" s="593">
        <v>19745.6182</v>
      </c>
      <c r="Q99" s="593">
        <v>1858827</v>
      </c>
      <c r="R99" s="593">
        <v>239214</v>
      </c>
      <c r="S99" s="593">
        <v>91060</v>
      </c>
      <c r="T99" s="593">
        <v>109458</v>
      </c>
      <c r="U99" s="593">
        <v>44049</v>
      </c>
      <c r="V99" s="593">
        <f>SUM(Q99:U99)</f>
        <v>2342608</v>
      </c>
      <c r="W99" s="593">
        <f>V99*12</f>
        <v>28111296</v>
      </c>
      <c r="X99" s="592"/>
      <c r="Z99">
        <v>0</v>
      </c>
    </row>
    <row r="100">
      <c r="A100" s="592" t="inlineStr">
        <is>
          <t xml:space="preserve">E1</t>
        </is>
      </c>
      <c r="B100" s="592" t="inlineStr">
        <is>
          <t xml:space="preserve">고객사 업무 지원</t>
        </is>
      </c>
      <c r="C100" s="592" t="inlineStr">
        <is>
          <t xml:space="preserve">안내·의전</t>
        </is>
      </c>
      <c r="D100" s="592" t="inlineStr">
        <is>
          <t xml:space="preserve"/>
        </is>
      </c>
      <c r="E100" s="592" t="inlineStr">
        <is>
          <t xml:space="preserve">3개 업무</t>
        </is>
      </c>
      <c r="F100" s="592" t="inlineStr">
        <is>
          <t xml:space="preserve"/>
        </is>
      </c>
      <c r="G100" s="592"/>
      <c r="H100" s="592"/>
      <c r="I100" s="592"/>
      <c r="J100" s="592"/>
      <c r="K100" s="592"/>
      <c r="L100" s="592"/>
      <c r="M100" s="599">
        <v>9.3917</v>
      </c>
      <c r="N100" s="599">
        <v>112.7</v>
      </c>
      <c r="O100" s="602">
        <v>0.0054</v>
      </c>
      <c r="P100" s="593">
        <v>19745.5901</v>
      </c>
      <c r="Q100" s="593">
        <v>147147</v>
      </c>
      <c r="R100" s="593">
        <v>18936</v>
      </c>
      <c r="S100" s="593">
        <v>7209</v>
      </c>
      <c r="T100" s="593">
        <v>8665</v>
      </c>
      <c r="U100" s="593">
        <v>3487</v>
      </c>
      <c r="V100" s="593">
        <f>SUM(Q100:U100)</f>
        <v>185444</v>
      </c>
      <c r="W100" s="593">
        <f>V100*12</f>
        <v>2225328</v>
      </c>
      <c r="X100" s="592"/>
      <c r="Z100">
        <v>0</v>
      </c>
    </row>
    <row r="101">
      <c r="A101" s="589" t="inlineStr">
        <is>
          <t xml:space="preserve">E1-1</t>
        </is>
      </c>
      <c r="B101" s="589" t="inlineStr">
        <is>
          <t xml:space="preserve">고객사 업무 지원</t>
        </is>
      </c>
      <c r="C101" s="589" t="inlineStr">
        <is>
          <t xml:space="preserve">안내·의전</t>
        </is>
      </c>
      <c r="D101" s="589" t="inlineStr">
        <is>
          <t xml:space="preserve">VIP·귀빈 영접 및 차량 안내</t>
        </is>
      </c>
      <c r="E101" s="589" t="inlineStr">
        <is>
          <t xml:space="preserve">작업</t>
        </is>
      </c>
      <c r="F101" s="589" t="inlineStr">
        <is>
          <t xml:space="preserve">공통</t>
        </is>
      </c>
      <c r="G101" s="598">
        <v>20</v>
      </c>
      <c r="H101" s="590">
        <v>2</v>
      </c>
      <c r="I101" s="589" t="inlineStr">
        <is>
          <t xml:space="preserve">건</t>
        </is>
      </c>
      <c r="J101" s="598">
        <v>4</v>
      </c>
      <c r="K101" s="589" t="inlineStr">
        <is>
          <t xml:space="preserve">매월</t>
        </is>
      </c>
      <c r="L101" s="598">
        <v>8</v>
      </c>
      <c r="M101" s="598">
        <v>3.0667</v>
      </c>
      <c r="N101" s="598">
        <v>36.8</v>
      </c>
      <c r="O101" s="601">
        <v>0.0017</v>
      </c>
      <c r="P101" s="590">
        <v>19745.5435</v>
      </c>
      <c r="Q101" s="590">
        <v>48048</v>
      </c>
      <c r="R101" s="590">
        <v>6183</v>
      </c>
      <c r="S101" s="590">
        <v>2354</v>
      </c>
      <c r="T101" s="590">
        <v>2829</v>
      </c>
      <c r="U101" s="590">
        <v>1139</v>
      </c>
      <c r="V101" s="590">
        <f>SUM(Q101:U101)</f>
        <v>60553</v>
      </c>
      <c r="W101" s="590">
        <f>V101*12</f>
        <v>726636</v>
      </c>
      <c r="X101" s="590">
        <v>7569.125</v>
      </c>
      <c r="Z101">
        <v>1</v>
      </c>
    </row>
    <row r="102">
      <c r="A102" s="589" t="inlineStr">
        <is>
          <t xml:space="preserve">E1-2</t>
        </is>
      </c>
      <c r="B102" s="589" t="inlineStr">
        <is>
          <t xml:space="preserve">고객사 업무 지원</t>
        </is>
      </c>
      <c r="C102" s="589" t="inlineStr">
        <is>
          <t xml:space="preserve">안내·의전</t>
        </is>
      </c>
      <c r="D102" s="589" t="inlineStr">
        <is>
          <t xml:space="preserve">회의·행사장 출입 통제</t>
        </is>
      </c>
      <c r="E102" s="589" t="inlineStr">
        <is>
          <t xml:space="preserve">작업</t>
        </is>
      </c>
      <c r="F102" s="589" t="inlineStr">
        <is>
          <t xml:space="preserve">공통</t>
        </is>
      </c>
      <c r="G102" s="598">
        <v>120</v>
      </c>
      <c r="H102" s="590">
        <v>2</v>
      </c>
      <c r="I102" s="589" t="inlineStr">
        <is>
          <t xml:space="preserve">회</t>
        </is>
      </c>
      <c r="J102" s="598">
        <v>1</v>
      </c>
      <c r="K102" s="589" t="inlineStr">
        <is>
          <t xml:space="preserve">매월</t>
        </is>
      </c>
      <c r="L102" s="598">
        <v>2</v>
      </c>
      <c r="M102" s="598">
        <v>4.6</v>
      </c>
      <c r="N102" s="598">
        <v>55.2</v>
      </c>
      <c r="O102" s="601">
        <v>0.0026</v>
      </c>
      <c r="P102" s="590">
        <v>19745.6522</v>
      </c>
      <c r="Q102" s="590">
        <v>72072</v>
      </c>
      <c r="R102" s="590">
        <v>9275</v>
      </c>
      <c r="S102" s="590">
        <v>3531</v>
      </c>
      <c r="T102" s="590">
        <v>4244</v>
      </c>
      <c r="U102" s="590">
        <v>1708</v>
      </c>
      <c r="V102" s="590">
        <f>SUM(Q102:U102)</f>
        <v>90830</v>
      </c>
      <c r="W102" s="590">
        <f>V102*12</f>
        <v>1089960</v>
      </c>
      <c r="X102" s="590">
        <v>45415</v>
      </c>
      <c r="Z102">
        <v>1</v>
      </c>
    </row>
    <row r="103">
      <c r="A103" s="589" t="inlineStr">
        <is>
          <t xml:space="preserve">E1-3</t>
        </is>
      </c>
      <c r="B103" s="589" t="inlineStr">
        <is>
          <t xml:space="preserve">고객사 업무 지원</t>
        </is>
      </c>
      <c r="C103" s="589" t="inlineStr">
        <is>
          <t xml:space="preserve">안내·의전</t>
        </is>
      </c>
      <c r="D103" s="589" t="inlineStr">
        <is>
          <t xml:space="preserve">행사 주차 안내·교통 정리</t>
        </is>
      </c>
      <c r="E103" s="589" t="inlineStr">
        <is>
          <t xml:space="preserve">작업</t>
        </is>
      </c>
      <c r="F103" s="589" t="inlineStr">
        <is>
          <t xml:space="preserve">공통</t>
        </is>
      </c>
      <c r="G103" s="598">
        <v>90</v>
      </c>
      <c r="H103" s="590">
        <v>1</v>
      </c>
      <c r="I103" s="589" t="inlineStr">
        <is>
          <t xml:space="preserve">회</t>
        </is>
      </c>
      <c r="J103" s="598">
        <v>1</v>
      </c>
      <c r="K103" s="589" t="inlineStr">
        <is>
          <t xml:space="preserve">매월</t>
        </is>
      </c>
      <c r="L103" s="598">
        <v>1</v>
      </c>
      <c r="M103" s="598">
        <v>1.725</v>
      </c>
      <c r="N103" s="598">
        <v>20.7</v>
      </c>
      <c r="O103" s="601">
        <v>0.001</v>
      </c>
      <c r="P103" s="590">
        <v>19745.5072</v>
      </c>
      <c r="Q103" s="590">
        <v>27027</v>
      </c>
      <c r="R103" s="590">
        <v>3478</v>
      </c>
      <c r="S103" s="590">
        <v>1324</v>
      </c>
      <c r="T103" s="590">
        <v>1592</v>
      </c>
      <c r="U103" s="590">
        <v>640</v>
      </c>
      <c r="V103" s="590">
        <f>SUM(Q103:U103)</f>
        <v>34061</v>
      </c>
      <c r="W103" s="590">
        <f>V103*12</f>
        <v>408732</v>
      </c>
      <c r="X103" s="590">
        <v>34061</v>
      </c>
      <c r="Z103">
        <v>1</v>
      </c>
    </row>
    <row r="104">
      <c r="A104" s="592" t="inlineStr">
        <is>
          <t xml:space="preserve">E2</t>
        </is>
      </c>
      <c r="B104" s="592" t="inlineStr">
        <is>
          <t xml:space="preserve">고객사 업무 지원</t>
        </is>
      </c>
      <c r="C104" s="592" t="inlineStr">
        <is>
          <t xml:space="preserve">행정 지원</t>
        </is>
      </c>
      <c r="D104" s="592" t="inlineStr">
        <is>
          <t xml:space="preserve"/>
        </is>
      </c>
      <c r="E104" s="592" t="inlineStr">
        <is>
          <t xml:space="preserve">4개 업무</t>
        </is>
      </c>
      <c r="F104" s="592" t="inlineStr">
        <is>
          <t xml:space="preserve"/>
        </is>
      </c>
      <c r="G104" s="592"/>
      <c r="H104" s="592"/>
      <c r="I104" s="592"/>
      <c r="J104" s="592"/>
      <c r="K104" s="592"/>
      <c r="L104" s="592"/>
      <c r="M104" s="599">
        <v>51.2133</v>
      </c>
      <c r="N104" s="599">
        <v>614.56</v>
      </c>
      <c r="O104" s="602">
        <v>0.0292</v>
      </c>
      <c r="P104" s="593">
        <v>19745.6001</v>
      </c>
      <c r="Q104" s="593">
        <v>802404</v>
      </c>
      <c r="R104" s="593">
        <v>103262</v>
      </c>
      <c r="S104" s="593">
        <v>39308</v>
      </c>
      <c r="T104" s="593">
        <v>47250</v>
      </c>
      <c r="U104" s="593">
        <v>19014</v>
      </c>
      <c r="V104" s="593">
        <f>SUM(Q104:U104)</f>
        <v>1011238</v>
      </c>
      <c r="W104" s="593">
        <f>V104*12</f>
        <v>12134856</v>
      </c>
      <c r="X104" s="592"/>
      <c r="Z104">
        <v>0</v>
      </c>
    </row>
    <row r="105">
      <c r="A105" s="589" t="inlineStr">
        <is>
          <t xml:space="preserve">E2-1</t>
        </is>
      </c>
      <c r="B105" s="589" t="inlineStr">
        <is>
          <t xml:space="preserve">고객사 업무 지원</t>
        </is>
      </c>
      <c r="C105" s="589" t="inlineStr">
        <is>
          <t xml:space="preserve">행정 지원</t>
        </is>
      </c>
      <c r="D105" s="589" t="inlineStr">
        <is>
          <t xml:space="preserve">열쇠·출입카드 보관·대여 관리</t>
        </is>
      </c>
      <c r="E105" s="589" t="inlineStr">
        <is>
          <t xml:space="preserve">작업</t>
        </is>
      </c>
      <c r="F105" s="589" t="inlineStr">
        <is>
          <t xml:space="preserve">공통</t>
        </is>
      </c>
      <c r="G105" s="598">
        <v>2</v>
      </c>
      <c r="H105" s="590">
        <v>20</v>
      </c>
      <c r="I105" s="589" t="inlineStr">
        <is>
          <t xml:space="preserve">건</t>
        </is>
      </c>
      <c r="J105" s="598">
        <v>1</v>
      </c>
      <c r="K105" s="589" t="inlineStr">
        <is>
          <t xml:space="preserve">매일</t>
        </is>
      </c>
      <c r="L105" s="598">
        <v>608</v>
      </c>
      <c r="M105" s="598">
        <v>23.3067</v>
      </c>
      <c r="N105" s="598">
        <v>279.68</v>
      </c>
      <c r="O105" s="601">
        <v>0.0133</v>
      </c>
      <c r="P105" s="590">
        <v>19745.6379</v>
      </c>
      <c r="Q105" s="590">
        <v>365166</v>
      </c>
      <c r="R105" s="590">
        <v>46994</v>
      </c>
      <c r="S105" s="590">
        <v>17889</v>
      </c>
      <c r="T105" s="590">
        <v>21503</v>
      </c>
      <c r="U105" s="590">
        <v>8653</v>
      </c>
      <c r="V105" s="590">
        <f>SUM(Q105:U105)</f>
        <v>460205</v>
      </c>
      <c r="W105" s="590">
        <f>V105*12</f>
        <v>5522460</v>
      </c>
      <c r="X105" s="590">
        <v>756.9161</v>
      </c>
      <c r="Z105">
        <v>1</v>
      </c>
    </row>
    <row r="106">
      <c r="A106" s="589" t="inlineStr">
        <is>
          <t xml:space="preserve">E2-2</t>
        </is>
      </c>
      <c r="B106" s="589" t="inlineStr">
        <is>
          <t xml:space="preserve">고객사 업무 지원</t>
        </is>
      </c>
      <c r="C106" s="589" t="inlineStr">
        <is>
          <t xml:space="preserve">행정 지원</t>
        </is>
      </c>
      <c r="D106" s="589" t="inlineStr">
        <is>
          <t xml:space="preserve">분실물·습득물 접수·보관·반환</t>
        </is>
      </c>
      <c r="E106" s="589" t="inlineStr">
        <is>
          <t xml:space="preserve">작업</t>
        </is>
      </c>
      <c r="F106" s="589" t="inlineStr">
        <is>
          <t xml:space="preserve">공통</t>
        </is>
      </c>
      <c r="G106" s="598">
        <v>5</v>
      </c>
      <c r="H106" s="590">
        <v>2</v>
      </c>
      <c r="I106" s="589" t="inlineStr">
        <is>
          <t xml:space="preserve">건</t>
        </is>
      </c>
      <c r="J106" s="598">
        <v>1</v>
      </c>
      <c r="K106" s="589" t="inlineStr">
        <is>
          <t xml:space="preserve">매일</t>
        </is>
      </c>
      <c r="L106" s="598">
        <v>60.8</v>
      </c>
      <c r="M106" s="598">
        <v>5.8267</v>
      </c>
      <c r="N106" s="598">
        <v>69.92</v>
      </c>
      <c r="O106" s="601">
        <v>0.0033</v>
      </c>
      <c r="P106" s="590">
        <v>19745.595</v>
      </c>
      <c r="Q106" s="590">
        <v>91292</v>
      </c>
      <c r="R106" s="590">
        <v>11748</v>
      </c>
      <c r="S106" s="590">
        <v>4472</v>
      </c>
      <c r="T106" s="590">
        <v>5376</v>
      </c>
      <c r="U106" s="590">
        <v>2163</v>
      </c>
      <c r="V106" s="590">
        <f>SUM(Q106:U106)</f>
        <v>115051</v>
      </c>
      <c r="W106" s="590">
        <f>V106*12</f>
        <v>1380612</v>
      </c>
      <c r="X106" s="590">
        <v>1892.2862</v>
      </c>
      <c r="Z106">
        <v>1</v>
      </c>
    </row>
    <row r="107">
      <c r="A107" s="589" t="inlineStr">
        <is>
          <t xml:space="preserve">E2-3</t>
        </is>
      </c>
      <c r="B107" s="589" t="inlineStr">
        <is>
          <t xml:space="preserve">고객사 업무 지원</t>
        </is>
      </c>
      <c r="C107" s="589" t="inlineStr">
        <is>
          <t xml:space="preserve">행정 지원</t>
        </is>
      </c>
      <c r="D107" s="589" t="inlineStr">
        <is>
          <t xml:space="preserve">공지문·게시물 부착·회수</t>
        </is>
      </c>
      <c r="E107" s="589" t="inlineStr">
        <is>
          <t xml:space="preserve">작업</t>
        </is>
      </c>
      <c r="F107" s="589" t="inlineStr">
        <is>
          <t xml:space="preserve">공통</t>
        </is>
      </c>
      <c r="G107" s="598">
        <v>20</v>
      </c>
      <c r="H107" s="590">
        <v>6</v>
      </c>
      <c r="I107" s="589" t="inlineStr">
        <is>
          <t xml:space="preserve">동</t>
        </is>
      </c>
      <c r="J107" s="598">
        <v>2</v>
      </c>
      <c r="K107" s="589" t="inlineStr">
        <is>
          <t xml:space="preserve">매월</t>
        </is>
      </c>
      <c r="L107" s="598">
        <v>12</v>
      </c>
      <c r="M107" s="598">
        <v>4.6</v>
      </c>
      <c r="N107" s="598">
        <v>55.2</v>
      </c>
      <c r="O107" s="601">
        <v>0.0026</v>
      </c>
      <c r="P107" s="590">
        <v>19745.6522</v>
      </c>
      <c r="Q107" s="590">
        <v>72072</v>
      </c>
      <c r="R107" s="590">
        <v>9275</v>
      </c>
      <c r="S107" s="590">
        <v>3531</v>
      </c>
      <c r="T107" s="590">
        <v>4244</v>
      </c>
      <c r="U107" s="590">
        <v>1708</v>
      </c>
      <c r="V107" s="590">
        <f>SUM(Q107:U107)</f>
        <v>90830</v>
      </c>
      <c r="W107" s="590">
        <f>V107*12</f>
        <v>1089960</v>
      </c>
      <c r="X107" s="590">
        <v>7569.1667</v>
      </c>
      <c r="Z107">
        <v>1</v>
      </c>
    </row>
    <row r="108">
      <c r="A108" s="589" t="inlineStr">
        <is>
          <t xml:space="preserve">E2-4</t>
        </is>
      </c>
      <c r="B108" s="589" t="inlineStr">
        <is>
          <t xml:space="preserve">고객사 업무 지원</t>
        </is>
      </c>
      <c r="C108" s="589" t="inlineStr">
        <is>
          <t xml:space="preserve">행정 지원</t>
        </is>
      </c>
      <c r="D108" s="589" t="inlineStr">
        <is>
          <t xml:space="preserve">고객사 요청 문서·물품 전달</t>
        </is>
      </c>
      <c r="E108" s="589" t="inlineStr">
        <is>
          <t xml:space="preserve">작업</t>
        </is>
      </c>
      <c r="F108" s="589" t="inlineStr">
        <is>
          <t xml:space="preserve">공통</t>
        </is>
      </c>
      <c r="G108" s="598">
        <v>15</v>
      </c>
      <c r="H108" s="590">
        <v>2</v>
      </c>
      <c r="I108" s="589" t="inlineStr">
        <is>
          <t xml:space="preserve">건</t>
        </is>
      </c>
      <c r="J108" s="598">
        <v>1</v>
      </c>
      <c r="K108" s="589" t="inlineStr">
        <is>
          <t xml:space="preserve">매일</t>
        </is>
      </c>
      <c r="L108" s="598">
        <v>60.8</v>
      </c>
      <c r="M108" s="598">
        <v>17.48</v>
      </c>
      <c r="N108" s="598">
        <v>209.76</v>
      </c>
      <c r="O108" s="601">
        <v>0.01</v>
      </c>
      <c r="P108" s="590">
        <v>19745.5378</v>
      </c>
      <c r="Q108" s="590">
        <v>273874</v>
      </c>
      <c r="R108" s="590">
        <v>35245</v>
      </c>
      <c r="S108" s="590">
        <v>13416</v>
      </c>
      <c r="T108" s="590">
        <v>16127</v>
      </c>
      <c r="U108" s="590">
        <v>6490</v>
      </c>
      <c r="V108" s="590">
        <f>SUM(Q108:U108)</f>
        <v>345152</v>
      </c>
      <c r="W108" s="590">
        <f>V108*12</f>
        <v>4141824</v>
      </c>
      <c r="X108" s="590">
        <v>5676.8421</v>
      </c>
      <c r="Z108">
        <v>1</v>
      </c>
    </row>
    <row r="109">
      <c r="A109" s="592" t="inlineStr">
        <is>
          <t xml:space="preserve">E3</t>
        </is>
      </c>
      <c r="B109" s="592" t="inlineStr">
        <is>
          <t xml:space="preserve">고객사 업무 지원</t>
        </is>
      </c>
      <c r="C109" s="592" t="inlineStr">
        <is>
          <t xml:space="preserve">시설·환경 지원</t>
        </is>
      </c>
      <c r="D109" s="592" t="inlineStr">
        <is>
          <t xml:space="preserve"/>
        </is>
      </c>
      <c r="E109" s="592" t="inlineStr">
        <is>
          <t xml:space="preserve">2개 업무</t>
        </is>
      </c>
      <c r="F109" s="592" t="inlineStr">
        <is>
          <t xml:space="preserve"/>
        </is>
      </c>
      <c r="G109" s="592"/>
      <c r="H109" s="592"/>
      <c r="I109" s="592"/>
      <c r="J109" s="592"/>
      <c r="K109" s="592"/>
      <c r="L109" s="592"/>
      <c r="M109" s="599">
        <v>12.2283</v>
      </c>
      <c r="N109" s="599">
        <v>146.74</v>
      </c>
      <c r="O109" s="602">
        <v>0.007</v>
      </c>
      <c r="P109" s="593">
        <v>19745.5363</v>
      </c>
      <c r="Q109" s="593">
        <v>191592</v>
      </c>
      <c r="R109" s="593">
        <v>24656</v>
      </c>
      <c r="S109" s="593">
        <v>9385</v>
      </c>
      <c r="T109" s="593">
        <v>11281</v>
      </c>
      <c r="U109" s="593">
        <v>4541</v>
      </c>
      <c r="V109" s="593">
        <f>SUM(Q109:U109)</f>
        <v>241455</v>
      </c>
      <c r="W109" s="593">
        <f>V109*12</f>
        <v>2897460</v>
      </c>
      <c r="X109" s="592"/>
      <c r="Z109">
        <v>0</v>
      </c>
    </row>
    <row r="110">
      <c r="A110" s="589" t="inlineStr">
        <is>
          <t xml:space="preserve">E3-1</t>
        </is>
      </c>
      <c r="B110" s="589" t="inlineStr">
        <is>
          <t xml:space="preserve">고객사 업무 지원</t>
        </is>
      </c>
      <c r="C110" s="589" t="inlineStr">
        <is>
          <t xml:space="preserve">시설·환경 지원</t>
        </is>
      </c>
      <c r="D110" s="589" t="inlineStr">
        <is>
          <t xml:space="preserve">제설·염화칼슘 살포 지원</t>
        </is>
      </c>
      <c r="E110" s="589" t="inlineStr">
        <is>
          <t xml:space="preserve">작업</t>
        </is>
      </c>
      <c r="F110" s="589" t="inlineStr">
        <is>
          <t xml:space="preserve">공통</t>
        </is>
      </c>
      <c r="G110" s="598">
        <v>60</v>
      </c>
      <c r="H110" s="590">
        <v>2</v>
      </c>
      <c r="I110" s="589" t="inlineStr">
        <is>
          <t xml:space="preserve">구역</t>
        </is>
      </c>
      <c r="J110" s="598">
        <v>3</v>
      </c>
      <c r="K110" s="589" t="inlineStr">
        <is>
          <t xml:space="preserve">매년</t>
        </is>
      </c>
      <c r="L110" s="598">
        <v>0.5</v>
      </c>
      <c r="M110" s="598">
        <v>0.575</v>
      </c>
      <c r="N110" s="598">
        <v>6.9</v>
      </c>
      <c r="O110" s="601">
        <v>0.0003</v>
      </c>
      <c r="P110" s="590">
        <v>19744.3478</v>
      </c>
      <c r="Q110" s="590">
        <v>9009</v>
      </c>
      <c r="R110" s="590">
        <v>1159</v>
      </c>
      <c r="S110" s="590">
        <v>441</v>
      </c>
      <c r="T110" s="590">
        <v>530</v>
      </c>
      <c r="U110" s="590">
        <v>214</v>
      </c>
      <c r="V110" s="590">
        <f>SUM(Q110:U110)</f>
        <v>11353</v>
      </c>
      <c r="W110" s="590">
        <f>V110*12</f>
        <v>136236</v>
      </c>
      <c r="X110" s="590">
        <v>22706</v>
      </c>
      <c r="Z110">
        <v>1</v>
      </c>
    </row>
    <row r="111">
      <c r="A111" s="589" t="inlineStr">
        <is>
          <t xml:space="preserve">E3-2</t>
        </is>
      </c>
      <c r="B111" s="589" t="inlineStr">
        <is>
          <t xml:space="preserve">고객사 업무 지원</t>
        </is>
      </c>
      <c r="C111" s="589" t="inlineStr">
        <is>
          <t xml:space="preserve">시설·환경 지원</t>
        </is>
      </c>
      <c r="D111" s="589" t="inlineStr">
        <is>
          <t xml:space="preserve">시설 고장 접수·설비팀 연계</t>
        </is>
      </c>
      <c r="E111" s="589" t="inlineStr">
        <is>
          <t xml:space="preserve">작업</t>
        </is>
      </c>
      <c r="F111" s="589" t="inlineStr">
        <is>
          <t xml:space="preserve">공통</t>
        </is>
      </c>
      <c r="G111" s="598">
        <v>10</v>
      </c>
      <c r="H111" s="590">
        <v>2</v>
      </c>
      <c r="I111" s="589" t="inlineStr">
        <is>
          <t xml:space="preserve">건</t>
        </is>
      </c>
      <c r="J111" s="598">
        <v>1</v>
      </c>
      <c r="K111" s="589" t="inlineStr">
        <is>
          <t xml:space="preserve">매일</t>
        </is>
      </c>
      <c r="L111" s="598">
        <v>60.8</v>
      </c>
      <c r="M111" s="598">
        <v>11.6533</v>
      </c>
      <c r="N111" s="598">
        <v>139.84</v>
      </c>
      <c r="O111" s="601">
        <v>0.0066</v>
      </c>
      <c r="P111" s="590">
        <v>19745.595</v>
      </c>
      <c r="Q111" s="590">
        <v>182583</v>
      </c>
      <c r="R111" s="590">
        <v>23497</v>
      </c>
      <c r="S111" s="590">
        <v>8944</v>
      </c>
      <c r="T111" s="590">
        <v>10751</v>
      </c>
      <c r="U111" s="590">
        <v>4327</v>
      </c>
      <c r="V111" s="590">
        <f>SUM(Q111:U111)</f>
        <v>230102</v>
      </c>
      <c r="W111" s="590">
        <f>V111*12</f>
        <v>2761224</v>
      </c>
      <c r="X111" s="590">
        <v>3784.5724</v>
      </c>
      <c r="Z111">
        <v>1</v>
      </c>
    </row>
    <row r="112">
      <c r="A112" s="592" t="inlineStr">
        <is>
          <t xml:space="preserve">E4</t>
        </is>
      </c>
      <c r="B112" s="592" t="inlineStr">
        <is>
          <t xml:space="preserve">고객사 업무 지원</t>
        </is>
      </c>
      <c r="C112" s="592" t="inlineStr">
        <is>
          <t xml:space="preserve">업종별 특수 지원</t>
        </is>
      </c>
      <c r="D112" s="592" t="inlineStr">
        <is>
          <t xml:space="preserve"/>
        </is>
      </c>
      <c r="E112" s="592" t="inlineStr">
        <is>
          <t xml:space="preserve">2개 업무</t>
        </is>
      </c>
      <c r="F112" s="592" t="inlineStr">
        <is>
          <t xml:space="preserve"/>
        </is>
      </c>
      <c r="G112" s="592"/>
      <c r="H112" s="592"/>
      <c r="I112" s="592"/>
      <c r="J112" s="592"/>
      <c r="K112" s="592"/>
      <c r="L112" s="592"/>
      <c r="M112" s="599">
        <v>45.8061</v>
      </c>
      <c r="N112" s="599">
        <v>549.6726</v>
      </c>
      <c r="O112" s="602">
        <v>0.0261</v>
      </c>
      <c r="P112" s="593">
        <v>19745.6661</v>
      </c>
      <c r="Q112" s="593">
        <v>717684</v>
      </c>
      <c r="R112" s="593">
        <v>92360</v>
      </c>
      <c r="S112" s="593">
        <v>35158</v>
      </c>
      <c r="T112" s="593">
        <v>42262</v>
      </c>
      <c r="U112" s="593">
        <v>17007</v>
      </c>
      <c r="V112" s="593">
        <f>SUM(Q112:U112)</f>
        <v>904471</v>
      </c>
      <c r="W112" s="593">
        <f>V112*12</f>
        <v>10853652</v>
      </c>
      <c r="X112" s="592"/>
      <c r="Z112">
        <v>0</v>
      </c>
    </row>
    <row r="113">
      <c r="A113" s="589" t="inlineStr">
        <is>
          <t xml:space="preserve">E4-1</t>
        </is>
      </c>
      <c r="B113" s="589" t="inlineStr">
        <is>
          <t xml:space="preserve">고객사 업무 지원</t>
        </is>
      </c>
      <c r="C113" s="589" t="inlineStr">
        <is>
          <t xml:space="preserve">업종별 특수 지원</t>
        </is>
      </c>
      <c r="D113" s="589" t="inlineStr">
        <is>
          <t xml:space="preserve">출퇴근 통근버스 통제</t>
        </is>
      </c>
      <c r="E113" s="589" t="inlineStr">
        <is>
          <t xml:space="preserve">작업</t>
        </is>
      </c>
      <c r="F113" s="589" t="inlineStr">
        <is>
          <t xml:space="preserve">공통</t>
        </is>
      </c>
      <c r="G113" s="598">
        <v>30</v>
      </c>
      <c r="H113" s="590">
        <v>2</v>
      </c>
      <c r="I113" s="589" t="inlineStr">
        <is>
          <t xml:space="preserve">회</t>
        </is>
      </c>
      <c r="J113" s="598">
        <v>5</v>
      </c>
      <c r="K113" s="589" t="inlineStr">
        <is>
          <t xml:space="preserve">매주</t>
        </is>
      </c>
      <c r="L113" s="598">
        <v>43.4524</v>
      </c>
      <c r="M113" s="598">
        <v>24.9851</v>
      </c>
      <c r="N113" s="598">
        <v>299.8214</v>
      </c>
      <c r="O113" s="601">
        <v>0.0143</v>
      </c>
      <c r="P113" s="590">
        <v>19745.6734</v>
      </c>
      <c r="Q113" s="590">
        <v>391464</v>
      </c>
      <c r="R113" s="590">
        <v>50378</v>
      </c>
      <c r="S113" s="590">
        <v>19177</v>
      </c>
      <c r="T113" s="590">
        <v>23052</v>
      </c>
      <c r="U113" s="590">
        <v>9277</v>
      </c>
      <c r="V113" s="590">
        <f>SUM(Q113:U113)</f>
        <v>493348</v>
      </c>
      <c r="W113" s="590">
        <f>V113*12</f>
        <v>5920176</v>
      </c>
      <c r="X113" s="590">
        <v>11353.7622</v>
      </c>
      <c r="Z113">
        <v>1</v>
      </c>
    </row>
    <row r="114">
      <c r="A114" s="589" t="inlineStr">
        <is>
          <t xml:space="preserve">E4-2</t>
        </is>
      </c>
      <c r="B114" s="589" t="inlineStr">
        <is>
          <t xml:space="preserve">고객사 업무 지원</t>
        </is>
      </c>
      <c r="C114" s="589" t="inlineStr">
        <is>
          <t xml:space="preserve">업종별 특수 지원</t>
        </is>
      </c>
      <c r="D114" s="589" t="inlineStr">
        <is>
          <t xml:space="preserve">협력업체 작업허가서 확인</t>
        </is>
      </c>
      <c r="E114" s="589" t="inlineStr">
        <is>
          <t xml:space="preserve">작업</t>
        </is>
      </c>
      <c r="F114" s="589" t="inlineStr">
        <is>
          <t xml:space="preserve">공통</t>
        </is>
      </c>
      <c r="G114" s="598">
        <v>5</v>
      </c>
      <c r="H114" s="590">
        <v>10</v>
      </c>
      <c r="I114" s="589" t="inlineStr">
        <is>
          <t xml:space="preserve">건</t>
        </is>
      </c>
      <c r="J114" s="598">
        <v>5</v>
      </c>
      <c r="K114" s="589" t="inlineStr">
        <is>
          <t xml:space="preserve">매주</t>
        </is>
      </c>
      <c r="L114" s="598">
        <v>217.2619</v>
      </c>
      <c r="M114" s="598">
        <v>20.8209</v>
      </c>
      <c r="N114" s="598">
        <v>249.8512</v>
      </c>
      <c r="O114" s="601">
        <v>0.0119</v>
      </c>
      <c r="P114" s="590">
        <v>19745.6574</v>
      </c>
      <c r="Q114" s="590">
        <v>326220</v>
      </c>
      <c r="R114" s="590">
        <v>41982</v>
      </c>
      <c r="S114" s="590">
        <v>15981</v>
      </c>
      <c r="T114" s="590">
        <v>19210</v>
      </c>
      <c r="U114" s="590">
        <v>7730</v>
      </c>
      <c r="V114" s="590">
        <f>SUM(Q114:U114)</f>
        <v>411123</v>
      </c>
      <c r="W114" s="590">
        <f>V114*12</f>
        <v>4933476</v>
      </c>
      <c r="X114" s="590">
        <v>1892.2922</v>
      </c>
      <c r="Z114">
        <v>1</v>
      </c>
    </row>
    <row r="115">
      <c r="A115" s="592" t="inlineStr">
        <is>
          <t xml:space="preserve">F</t>
        </is>
      </c>
      <c r="B115" s="592" t="inlineStr">
        <is>
          <t xml:space="preserve">보고·행정·교육</t>
        </is>
      </c>
      <c r="C115" s="592" t="inlineStr">
        <is>
          <t xml:space="preserve"/>
        </is>
      </c>
      <c r="D115" s="592" t="inlineStr">
        <is>
          <t xml:space="preserve"/>
        </is>
      </c>
      <c r="E115" s="592" t="inlineStr">
        <is>
          <t xml:space="preserve">4개 업무</t>
        </is>
      </c>
      <c r="F115" s="592" t="inlineStr">
        <is>
          <t xml:space="preserve"/>
        </is>
      </c>
      <c r="G115" s="592"/>
      <c r="H115" s="592"/>
      <c r="I115" s="592"/>
      <c r="J115" s="592"/>
      <c r="K115" s="592"/>
      <c r="L115" s="592"/>
      <c r="M115" s="599">
        <v>69.0767</v>
      </c>
      <c r="N115" s="599">
        <v>828.92</v>
      </c>
      <c r="O115" s="602">
        <v>0.0394</v>
      </c>
      <c r="P115" s="593">
        <v>19745.6112</v>
      </c>
      <c r="Q115" s="593">
        <v>1082284</v>
      </c>
      <c r="R115" s="593">
        <v>139281</v>
      </c>
      <c r="S115" s="593">
        <v>53018</v>
      </c>
      <c r="T115" s="593">
        <v>63731</v>
      </c>
      <c r="U115" s="593">
        <v>25647</v>
      </c>
      <c r="V115" s="593">
        <f>SUM(Q115:U115)</f>
        <v>1363961</v>
      </c>
      <c r="W115" s="593">
        <f>V115*12</f>
        <v>16367532</v>
      </c>
      <c r="X115" s="592"/>
      <c r="Z115">
        <v>0</v>
      </c>
    </row>
    <row r="116">
      <c r="A116" s="589" t="inlineStr">
        <is>
          <t xml:space="preserve">F1</t>
        </is>
      </c>
      <c r="B116" s="589" t="inlineStr">
        <is>
          <t xml:space="preserve">보고·행정·교육</t>
        </is>
      </c>
      <c r="C116" s="589" t="inlineStr">
        <is>
          <t xml:space="preserve"/>
        </is>
      </c>
      <c r="D116" s="589" t="inlineStr">
        <is>
          <t xml:space="preserve">근무일지·인수인계</t>
        </is>
      </c>
      <c r="E116" s="589" t="inlineStr">
        <is>
          <t xml:space="preserve">작업</t>
        </is>
      </c>
      <c r="F116" s="589" t="inlineStr">
        <is>
          <t xml:space="preserve">공통</t>
        </is>
      </c>
      <c r="G116" s="598">
        <v>15</v>
      </c>
      <c r="H116" s="590">
        <v>2</v>
      </c>
      <c r="I116" s="589" t="inlineStr">
        <is>
          <t xml:space="preserve">개소</t>
        </is>
      </c>
      <c r="J116" s="598">
        <v>3</v>
      </c>
      <c r="K116" s="589" t="inlineStr">
        <is>
          <t xml:space="preserve">매일</t>
        </is>
      </c>
      <c r="L116" s="598">
        <v>182.4</v>
      </c>
      <c r="M116" s="598">
        <v>52.44</v>
      </c>
      <c r="N116" s="598">
        <v>629.28</v>
      </c>
      <c r="O116" s="601">
        <v>0.0299</v>
      </c>
      <c r="P116" s="590">
        <v>19745.614</v>
      </c>
      <c r="Q116" s="590">
        <v>821623</v>
      </c>
      <c r="R116" s="590">
        <v>105736</v>
      </c>
      <c r="S116" s="590">
        <v>40249</v>
      </c>
      <c r="T116" s="590">
        <v>48382</v>
      </c>
      <c r="U116" s="590">
        <v>19470</v>
      </c>
      <c r="V116" s="590">
        <f>SUM(Q116:U116)</f>
        <v>1035460</v>
      </c>
      <c r="W116" s="590">
        <f>V116*12</f>
        <v>12425520</v>
      </c>
      <c r="X116" s="590">
        <v>5676.864</v>
      </c>
      <c r="Z116">
        <v>1</v>
      </c>
    </row>
    <row r="117">
      <c r="A117" s="589" t="inlineStr">
        <is>
          <t xml:space="preserve">F2</t>
        </is>
      </c>
      <c r="B117" s="589" t="inlineStr">
        <is>
          <t xml:space="preserve">보고·행정·교육</t>
        </is>
      </c>
      <c r="C117" s="589" t="inlineStr">
        <is>
          <t xml:space="preserve"/>
        </is>
      </c>
      <c r="D117" s="589" t="inlineStr">
        <is>
          <t xml:space="preserve">사건·사고 보고서 작성</t>
        </is>
      </c>
      <c r="E117" s="589" t="inlineStr">
        <is>
          <t xml:space="preserve">작업</t>
        </is>
      </c>
      <c r="F117" s="589" t="inlineStr">
        <is>
          <t xml:space="preserve">공통</t>
        </is>
      </c>
      <c r="G117" s="598">
        <v>30</v>
      </c>
      <c r="H117" s="590">
        <v>1</v>
      </c>
      <c r="I117" s="589" t="inlineStr">
        <is>
          <t xml:space="preserve">건</t>
        </is>
      </c>
      <c r="J117" s="598">
        <v>6</v>
      </c>
      <c r="K117" s="589" t="inlineStr">
        <is>
          <t xml:space="preserve">매월</t>
        </is>
      </c>
      <c r="L117" s="598">
        <v>6</v>
      </c>
      <c r="M117" s="598">
        <v>3.45</v>
      </c>
      <c r="N117" s="598">
        <v>41.4</v>
      </c>
      <c r="O117" s="601">
        <v>0.002</v>
      </c>
      <c r="P117" s="590">
        <v>19745.5072</v>
      </c>
      <c r="Q117" s="590">
        <v>54054</v>
      </c>
      <c r="R117" s="590">
        <v>6956</v>
      </c>
      <c r="S117" s="590">
        <v>2648</v>
      </c>
      <c r="T117" s="590">
        <v>3183</v>
      </c>
      <c r="U117" s="590">
        <v>1281</v>
      </c>
      <c r="V117" s="590">
        <f>SUM(Q117:U117)</f>
        <v>68122</v>
      </c>
      <c r="W117" s="590">
        <f>V117*12</f>
        <v>817464</v>
      </c>
      <c r="X117" s="590">
        <v>11353.6667</v>
      </c>
      <c r="Z117">
        <v>1</v>
      </c>
    </row>
    <row r="118">
      <c r="A118" s="589" t="inlineStr">
        <is>
          <t xml:space="preserve">F3</t>
        </is>
      </c>
      <c r="B118" s="589" t="inlineStr">
        <is>
          <t xml:space="preserve">보고·행정·교육</t>
        </is>
      </c>
      <c r="C118" s="589" t="inlineStr">
        <is>
          <t xml:space="preserve"/>
        </is>
      </c>
      <c r="D118" s="589" t="inlineStr">
        <is>
          <t xml:space="preserve">고객사 일일 업무보고</t>
        </is>
      </c>
      <c r="E118" s="589" t="inlineStr">
        <is>
          <t xml:space="preserve">작업</t>
        </is>
      </c>
      <c r="F118" s="589" t="inlineStr">
        <is>
          <t xml:space="preserve">공통</t>
        </is>
      </c>
      <c r="G118" s="598">
        <v>20</v>
      </c>
      <c r="H118" s="590">
        <v>1</v>
      </c>
      <c r="I118" s="589" t="inlineStr">
        <is>
          <t xml:space="preserve">회</t>
        </is>
      </c>
      <c r="J118" s="598">
        <v>1</v>
      </c>
      <c r="K118" s="589" t="inlineStr">
        <is>
          <t xml:space="preserve">매일</t>
        </is>
      </c>
      <c r="L118" s="598">
        <v>30.4</v>
      </c>
      <c r="M118" s="598">
        <v>11.6533</v>
      </c>
      <c r="N118" s="598">
        <v>139.84</v>
      </c>
      <c r="O118" s="601">
        <v>0.0066</v>
      </c>
      <c r="P118" s="590">
        <v>19745.595</v>
      </c>
      <c r="Q118" s="590">
        <v>182583</v>
      </c>
      <c r="R118" s="590">
        <v>23497</v>
      </c>
      <c r="S118" s="590">
        <v>8944</v>
      </c>
      <c r="T118" s="590">
        <v>10751</v>
      </c>
      <c r="U118" s="590">
        <v>4327</v>
      </c>
      <c r="V118" s="590">
        <f>SUM(Q118:U118)</f>
        <v>230102</v>
      </c>
      <c r="W118" s="590">
        <f>V118*12</f>
        <v>2761224</v>
      </c>
      <c r="X118" s="590">
        <v>7569.1447</v>
      </c>
      <c r="Z118">
        <v>1</v>
      </c>
    </row>
    <row r="119">
      <c r="A119" s="589" t="inlineStr">
        <is>
          <t xml:space="preserve">F4</t>
        </is>
      </c>
      <c r="B119" s="589" t="inlineStr">
        <is>
          <t xml:space="preserve">보고·행정·교육</t>
        </is>
      </c>
      <c r="C119" s="589" t="inlineStr">
        <is>
          <t xml:space="preserve"/>
        </is>
      </c>
      <c r="D119" s="589" t="inlineStr">
        <is>
          <t xml:space="preserve">경비원 직무교육·소방훈련 참여</t>
        </is>
      </c>
      <c r="E119" s="589" t="inlineStr">
        <is>
          <t xml:space="preserve">작업</t>
        </is>
      </c>
      <c r="F119" s="589" t="inlineStr">
        <is>
          <t xml:space="preserve">공통</t>
        </is>
      </c>
      <c r="G119" s="598">
        <v>240</v>
      </c>
      <c r="H119" s="590">
        <v>1</v>
      </c>
      <c r="I119" s="589" t="inlineStr">
        <is>
          <t xml:space="preserve">회</t>
        </is>
      </c>
      <c r="J119" s="598">
        <v>1</v>
      </c>
      <c r="K119" s="589" t="inlineStr">
        <is>
          <t xml:space="preserve">분기</t>
        </is>
      </c>
      <c r="L119" s="598">
        <v>0.3333</v>
      </c>
      <c r="M119" s="598">
        <v>1.5333</v>
      </c>
      <c r="N119" s="598">
        <v>18.4</v>
      </c>
      <c r="O119" s="601">
        <v>0.0009</v>
      </c>
      <c r="P119" s="590">
        <v>19745.8696</v>
      </c>
      <c r="Q119" s="590">
        <v>24024</v>
      </c>
      <c r="R119" s="590">
        <v>3092</v>
      </c>
      <c r="S119" s="590">
        <v>1177</v>
      </c>
      <c r="T119" s="590">
        <v>1415</v>
      </c>
      <c r="U119" s="590">
        <v>569</v>
      </c>
      <c r="V119" s="590">
        <f>SUM(Q119:U119)</f>
        <v>30277</v>
      </c>
      <c r="W119" s="590">
        <f>V119*12</f>
        <v>363324</v>
      </c>
      <c r="X119" s="590">
        <v>90831</v>
      </c>
      <c r="Z119">
        <v>1</v>
      </c>
    </row>
    <row r="120" ht="20" customHeight="1">
      <c r="A120" s="594" t="inlineStr">
        <is>
          <t xml:space="preserve">합계</t>
        </is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600">
        <f>SUMIF($Z$23:$Z$119,1,M23:M119)</f>
        <v>1752.4397</v>
      </c>
      <c r="N120" s="600">
        <f>SUMIF($Z$23:$Z$119,1,N23:N119)</f>
        <v>21029.2768</v>
      </c>
      <c r="O120" s="603">
        <v>1</v>
      </c>
      <c r="P120" s="595">
        <v>19745.6149</v>
      </c>
      <c r="Q120" s="595">
        <f>SUMIF($Z$23:$Z$119,1,Q23:Q119)</f>
        <v>27457010</v>
      </c>
      <c r="R120" s="595">
        <f>SUMIF($Z$23:$Z$119,1,R23:R119)</f>
        <v>3533478</v>
      </c>
      <c r="S120" s="595">
        <f>SUMIF($Z$23:$Z$119,1,S23:S119)</f>
        <v>1345040</v>
      </c>
      <c r="T120" s="595">
        <f>SUMIF($Z$23:$Z$119,1,T23:T119)</f>
        <v>1616820</v>
      </c>
      <c r="U120" s="595">
        <f>SUMIF($Z$23:$Z$119,1,U23:U119)</f>
        <v>650652</v>
      </c>
      <c r="V120" s="595">
        <f>SUMIF($Z$23:$Z$119,1,V23:V119)</f>
        <v>34603000</v>
      </c>
      <c r="W120" s="595">
        <f>SUMIF($Z$23:$Z$119,1,W23:W119)</f>
        <v>415236000</v>
      </c>
      <c r="X120" s="594"/>
    </row>
    <row r="121">
      <c r="A121" s="589" t="inlineStr">
        <is>
          <t xml:space="preserve">검증: 견적서 월 합계 · 연 총액</t>
        </is>
      </c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90">
        <f>'2. 견적서'!I31</f>
        <v>34603000</v>
      </c>
      <c r="W121" s="590">
        <f>'2. 견적서'!I34</f>
        <v>415236000</v>
      </c>
      <c r="X121" s="589"/>
    </row>
    <row r="122">
      <c r="A122" s="589" t="inlineStr">
        <is>
          <t xml:space="preserve">차이 (0이면 일치)</t>
        </is>
      </c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90">
        <f>V120-V121</f>
        <v>0</v>
      </c>
      <c r="W122" s="590">
        <f>W120-W121</f>
        <v>0</v>
      </c>
      <c r="X122" s="589"/>
    </row>
    <row r="124">
      <c r="A124" s="591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25">
      <c r="A125" s="591" t="inlineStr">
        <is>
          <t xml:space="preserve">모든 합계는 견적서 월 합계(I31)·계약기간 총액(I34)과 원 단위까지 같으며, 아래 검증 행의 차이가 0이면 일치합니다.</t>
        </is>
      </c>
    </row>
    <row r="126">
      <c r="A126" s="591" t="inlineStr">
        <is>
          <t xml:space="preserve">Produced by RatRae Choi – October 21, 2026 · Workload-Based Cost and Labor Estimation Method v1.17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xSplit="2" ySplit="6" topLeftCell="C7" activePane="bottomRigh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34" customWidth="1"/>
    <col min="20" max="20" hidden="1" width="3" customWidth="1"/>
  </cols>
  <sheetData>
    <row r="1" ht="24" customHeight="1">
      <c r="B1" s="596" t="inlineStr">
        <is>
          <t xml:space="preserve">공장 ○○사업장 보안용역 도급업무 업무량 산출내역 (Workload)</t>
        </is>
      </c>
      <c r="R1" s="586" t="inlineStr">
        <is>
          <t xml:space="preserve">No. 261029-0425</t>
        </is>
      </c>
    </row>
    <row r="2" ht="16" customHeight="1">
      <c r="B2" s="588" t="inlineStr">
        <is>
          <t xml:space="preserve">Location: 공장 ○○사업장</t>
        </is>
      </c>
      <c r="R2" s="587" t="inlineStr">
        <is>
          <t xml:space="preserve">작성일 2026. 10. 29</t>
        </is>
      </c>
    </row>
    <row r="3" ht="16" customHeight="1">
      <c r="B3" s="588" t="inlineStr">
        <is>
          <t xml:space="preserve">2027년 · 평일: 246일 / 주말: 104일 / 공휴일: 15일 · 주간 06~22시 · 야간 22~06시</t>
        </is>
      </c>
    </row>
    <row r="5" ht="20" customHeight="1">
      <c r="B5" s="597" t="inlineStr">
        <is>
          <t xml:space="preserve">도급 업무 (분류별 세부업무)</t>
        </is>
      </c>
      <c r="C5" s="597" t="inlineStr">
        <is>
          <t xml:space="preserve">시간당 단가</t>
        </is>
      </c>
      <c r="D5" s="597" t="inlineStr">
        <is>
          <t xml:space="preserve">Work scope (연간 업무시간, h)</t>
        </is>
      </c>
      <c r="E5" s="597" t="inlineStr">
        <is>
          <t xml:space="preserve"/>
        </is>
      </c>
      <c r="F5" s="597" t="inlineStr">
        <is>
          <t xml:space="preserve"/>
        </is>
      </c>
      <c r="G5" s="597" t="inlineStr">
        <is>
          <t xml:space="preserve"/>
        </is>
      </c>
      <c r="H5" s="597" t="inlineStr">
        <is>
          <t xml:space="preserve"/>
        </is>
      </c>
      <c r="I5" s="597" t="inlineStr">
        <is>
          <t xml:space="preserve"/>
        </is>
      </c>
      <c r="J5" s="597" t="inlineStr">
        <is>
          <t xml:space="preserve"/>
        </is>
      </c>
      <c r="K5" s="597" t="inlineStr">
        <is>
          <t xml:space="preserve">Amount (연간 노무비, 원)</t>
        </is>
      </c>
      <c r="L5" s="597" t="inlineStr">
        <is>
          <t xml:space="preserve"/>
        </is>
      </c>
      <c r="M5" s="597" t="inlineStr">
        <is>
          <t xml:space="preserve"/>
        </is>
      </c>
      <c r="N5" s="597" t="inlineStr">
        <is>
          <t xml:space="preserve"/>
        </is>
      </c>
      <c r="O5" s="597" t="inlineStr">
        <is>
          <t xml:space="preserve"/>
        </is>
      </c>
      <c r="P5" s="597" t="inlineStr">
        <is>
          <t xml:space="preserve"/>
        </is>
      </c>
      <c r="Q5" s="597" t="inlineStr">
        <is>
          <t xml:space="preserve"/>
        </is>
      </c>
      <c r="R5" s="597" t="inlineStr">
        <is>
          <t xml:space="preserve">비고</t>
        </is>
      </c>
    </row>
    <row r="6" ht="20" customHeight="1">
      <c r="B6" s="597" t="inlineStr">
        <is>
          <t xml:space="preserve"/>
        </is>
      </c>
      <c r="C6" s="597" t="inlineStr">
        <is>
          <t xml:space="preserve"/>
        </is>
      </c>
      <c r="D6" s="597" t="inlineStr">
        <is>
          <t xml:space="preserve">TOTAL</t>
        </is>
      </c>
      <c r="E6" s="597" t="inlineStr">
        <is>
          <t xml:space="preserve">주중 주간</t>
        </is>
      </c>
      <c r="F6" s="597" t="inlineStr">
        <is>
          <t xml:space="preserve">주중 야간</t>
        </is>
      </c>
      <c r="G6" s="597" t="inlineStr">
        <is>
          <t xml:space="preserve">주말 주간</t>
        </is>
      </c>
      <c r="H6" s="597" t="inlineStr">
        <is>
          <t xml:space="preserve">주말 야간</t>
        </is>
      </c>
      <c r="I6" s="597" t="inlineStr">
        <is>
          <t xml:space="preserve">공휴일 주간</t>
        </is>
      </c>
      <c r="J6" s="597" t="inlineStr">
        <is>
          <t xml:space="preserve">공휴일 야간</t>
        </is>
      </c>
      <c r="K6" s="597" t="inlineStr">
        <is>
          <t xml:space="preserve">TOTAL</t>
        </is>
      </c>
      <c r="L6" s="597" t="inlineStr">
        <is>
          <t xml:space="preserve">주중 주간</t>
        </is>
      </c>
      <c r="M6" s="597" t="inlineStr">
        <is>
          <t xml:space="preserve">주중 야간</t>
        </is>
      </c>
      <c r="N6" s="597" t="inlineStr">
        <is>
          <t xml:space="preserve">주말 주간</t>
        </is>
      </c>
      <c r="O6" s="597" t="inlineStr">
        <is>
          <t xml:space="preserve">주말 야간</t>
        </is>
      </c>
      <c r="P6" s="597" t="inlineStr">
        <is>
          <t xml:space="preserve">공휴일 주간</t>
        </is>
      </c>
      <c r="Q6" s="597" t="inlineStr">
        <is>
          <t xml:space="preserve">공휴일 야간</t>
        </is>
      </c>
      <c r="R6" s="597" t="inlineStr">
        <is>
          <t xml:space="preserve"/>
        </is>
      </c>
    </row>
    <row r="7" ht="17" customHeight="1">
      <c r="B7" s="592" t="inlineStr">
        <is>
          <t xml:space="preserve">A  출입통제</t>
        </is>
      </c>
      <c r="C7" s="593">
        <v>17684.198</v>
      </c>
      <c r="D7" s="599">
        <f>SUM(E7:J7)</f>
        <v>12108.5417</v>
      </c>
      <c r="E7" s="599">
        <v>7806.2826</v>
      </c>
      <c r="F7" s="599">
        <v>1247.4927</v>
      </c>
      <c r="G7" s="599">
        <v>2142.3164</v>
      </c>
      <c r="H7" s="599">
        <v>527.3953</v>
      </c>
      <c r="I7" s="599">
        <v>308.9879</v>
      </c>
      <c r="J7" s="599">
        <v>76.0666</v>
      </c>
      <c r="K7" s="593">
        <f>SUM(L7:Q7)</f>
        <v>214129848</v>
      </c>
      <c r="L7" s="593">
        <v>138047847</v>
      </c>
      <c r="M7" s="593">
        <v>22060908</v>
      </c>
      <c r="N7" s="593">
        <v>37885149</v>
      </c>
      <c r="O7" s="593">
        <v>9326562</v>
      </c>
      <c r="P7" s="593">
        <v>5464204</v>
      </c>
      <c r="Q7" s="593">
        <v>1345178</v>
      </c>
      <c r="R7" s="591" t="inlineStr">
        <is>
          <t xml:space="preserve"/>
        </is>
      </c>
      <c r="T7">
        <v>0</v>
      </c>
    </row>
    <row r="8" ht="17" customHeight="1">
      <c r="B8" s="592" t="inlineStr">
        <is>
          <t xml:space="preserve">A1  정문 초소</t>
        </is>
      </c>
      <c r="C8" s="593">
        <v>17684.1982</v>
      </c>
      <c r="D8" s="599">
        <f>SUM(E8:J8)</f>
        <v>8755.2</v>
      </c>
      <c r="E8" s="599">
        <v>4747.5205</v>
      </c>
      <c r="F8" s="599">
        <v>1153.2444</v>
      </c>
      <c r="G8" s="599">
        <v>2007.0818</v>
      </c>
      <c r="H8" s="599">
        <v>487.5505</v>
      </c>
      <c r="I8" s="599">
        <v>289.483</v>
      </c>
      <c r="J8" s="599">
        <v>70.3198</v>
      </c>
      <c r="K8" s="593">
        <f>SUM(L8:Q8)</f>
        <v>154828692</v>
      </c>
      <c r="L8" s="593">
        <v>83956097</v>
      </c>
      <c r="M8" s="593">
        <v>20394201</v>
      </c>
      <c r="N8" s="593">
        <v>35493633</v>
      </c>
      <c r="O8" s="593">
        <v>8621938</v>
      </c>
      <c r="P8" s="593">
        <v>5119274</v>
      </c>
      <c r="Q8" s="593">
        <v>1243549</v>
      </c>
      <c r="R8" s="591" t="inlineStr">
        <is>
          <t xml:space="preserve"/>
        </is>
      </c>
      <c r="T8">
        <v>0</v>
      </c>
    </row>
    <row r="9">
      <c r="B9" s="589" t="inlineStr">
        <is>
          <t xml:space="preserve">   A1-1  정문 상주 근무 (24시간 경계·대기)</t>
        </is>
      </c>
      <c r="C9" s="590">
        <v>17684.1965</v>
      </c>
      <c r="D9" s="598">
        <f>SUM(E9:J9)</f>
        <v>5133.344</v>
      </c>
      <c r="E9" s="598">
        <v>2306.4888</v>
      </c>
      <c r="F9" s="598">
        <v>1153.2444</v>
      </c>
      <c r="G9" s="598">
        <v>975.101</v>
      </c>
      <c r="H9" s="598">
        <v>487.5505</v>
      </c>
      <c r="I9" s="598">
        <v>140.6396</v>
      </c>
      <c r="J9" s="598">
        <v>70.3198</v>
      </c>
      <c r="K9" s="590">
        <f>SUM(L9:Q9)</f>
        <v>90779064</v>
      </c>
      <c r="L9" s="590">
        <v>40788401</v>
      </c>
      <c r="M9" s="590">
        <v>20394201</v>
      </c>
      <c r="N9" s="590">
        <v>17243877</v>
      </c>
      <c r="O9" s="590">
        <v>8621938</v>
      </c>
      <c r="P9" s="590">
        <v>2487098</v>
      </c>
      <c r="Q9" s="590">
        <v>1243549</v>
      </c>
      <c r="R9" s="591" t="inlineStr">
        <is>
          <t xml:space="preserve">상주 시간 중 다른 업무를 뺀 경계·대기</t>
        </is>
      </c>
      <c r="T9">
        <v>1</v>
      </c>
    </row>
    <row r="10">
      <c r="B10" s="589" t="inlineStr">
        <is>
          <t xml:space="preserve">   A1-2-a  입문 차량 확인·출입 기록</t>
        </is>
      </c>
      <c r="C10" s="590">
        <v>17684.2105</v>
      </c>
      <c r="D10" s="598">
        <f>SUM(E10:J10)</f>
        <v>377.568</v>
      </c>
      <c r="E10" s="598">
        <v>254.4705</v>
      </c>
      <c r="F10" s="598">
        <v>0</v>
      </c>
      <c r="G10" s="598">
        <v>107.581</v>
      </c>
      <c r="H10" s="598">
        <v>0</v>
      </c>
      <c r="I10" s="598">
        <v>15.5165</v>
      </c>
      <c r="J10" s="598">
        <v>0</v>
      </c>
      <c r="K10" s="590">
        <f>SUM(L10:Q10)</f>
        <v>6676992</v>
      </c>
      <c r="L10" s="590">
        <v>4500110</v>
      </c>
      <c r="M10" s="590">
        <v>0</v>
      </c>
      <c r="N10" s="590">
        <v>1902485</v>
      </c>
      <c r="O10" s="590">
        <v>0</v>
      </c>
      <c r="P10" s="590">
        <v>274397</v>
      </c>
      <c r="Q10" s="590">
        <v>0</v>
      </c>
      <c r="R10" s="591" t="inlineStr">
        <is>
          <t xml:space="preserve"/>
        </is>
      </c>
      <c r="T10">
        <v>1</v>
      </c>
    </row>
    <row r="11">
      <c r="B11" s="589" t="inlineStr">
        <is>
          <t xml:space="preserve">   A1-2-b  출문 차량 적재물 확인</t>
        </is>
      </c>
      <c r="C11" s="590">
        <v>17684.2105</v>
      </c>
      <c r="D11" s="598">
        <f>SUM(E11:J11)</f>
        <v>377.568</v>
      </c>
      <c r="E11" s="598">
        <v>254.4705</v>
      </c>
      <c r="F11" s="598">
        <v>0</v>
      </c>
      <c r="G11" s="598">
        <v>107.581</v>
      </c>
      <c r="H11" s="598">
        <v>0</v>
      </c>
      <c r="I11" s="598">
        <v>15.5165</v>
      </c>
      <c r="J11" s="598">
        <v>0</v>
      </c>
      <c r="K11" s="590">
        <f>SUM(L11:Q11)</f>
        <v>6676992</v>
      </c>
      <c r="L11" s="590">
        <v>4500110</v>
      </c>
      <c r="M11" s="590">
        <v>0</v>
      </c>
      <c r="N11" s="590">
        <v>1902485</v>
      </c>
      <c r="O11" s="590">
        <v>0</v>
      </c>
      <c r="P11" s="590">
        <v>274397</v>
      </c>
      <c r="Q11" s="590">
        <v>0</v>
      </c>
      <c r="R11" s="591" t="inlineStr">
        <is>
          <t xml:space="preserve"/>
        </is>
      </c>
      <c r="T11">
        <v>1</v>
      </c>
    </row>
    <row r="12">
      <c r="B12" s="589" t="inlineStr">
        <is>
          <t xml:space="preserve">   A1-2-c  협력업체·납품차량 출입 통제</t>
        </is>
      </c>
      <c r="C12" s="590">
        <v>17684.2105</v>
      </c>
      <c r="D12" s="598">
        <f>SUM(E12:J12)</f>
        <v>377.568</v>
      </c>
      <c r="E12" s="598">
        <v>254.4705</v>
      </c>
      <c r="F12" s="598">
        <v>0</v>
      </c>
      <c r="G12" s="598">
        <v>107.581</v>
      </c>
      <c r="H12" s="598">
        <v>0</v>
      </c>
      <c r="I12" s="598">
        <v>15.5165</v>
      </c>
      <c r="J12" s="598">
        <v>0</v>
      </c>
      <c r="K12" s="590">
        <f>SUM(L12:Q12)</f>
        <v>6676992</v>
      </c>
      <c r="L12" s="590">
        <v>4500110</v>
      </c>
      <c r="M12" s="590">
        <v>0</v>
      </c>
      <c r="N12" s="590">
        <v>1902485</v>
      </c>
      <c r="O12" s="590">
        <v>0</v>
      </c>
      <c r="P12" s="590">
        <v>274397</v>
      </c>
      <c r="Q12" s="590">
        <v>0</v>
      </c>
      <c r="R12" s="591" t="inlineStr">
        <is>
          <t xml:space="preserve"/>
        </is>
      </c>
      <c r="T12">
        <v>1</v>
      </c>
    </row>
    <row r="13">
      <c r="B13" s="589" t="inlineStr">
        <is>
          <t xml:space="preserve">   A1-2-d  긴급·관공서 차량 우선 통행 안내</t>
        </is>
      </c>
      <c r="C13" s="590">
        <v>17684.2105</v>
      </c>
      <c r="D13" s="598">
        <f>SUM(E13:J13)</f>
        <v>41.952</v>
      </c>
      <c r="E13" s="598">
        <v>28.2745</v>
      </c>
      <c r="F13" s="598">
        <v>0</v>
      </c>
      <c r="G13" s="598">
        <v>11.9534</v>
      </c>
      <c r="H13" s="598">
        <v>0</v>
      </c>
      <c r="I13" s="598">
        <v>1.7241</v>
      </c>
      <c r="J13" s="598">
        <v>0</v>
      </c>
      <c r="K13" s="590">
        <f>SUM(L13:Q13)</f>
        <v>741888</v>
      </c>
      <c r="L13" s="590">
        <v>500012</v>
      </c>
      <c r="M13" s="590">
        <v>0</v>
      </c>
      <c r="N13" s="590">
        <v>211387</v>
      </c>
      <c r="O13" s="590">
        <v>0</v>
      </c>
      <c r="P13" s="590">
        <v>30489</v>
      </c>
      <c r="Q13" s="590">
        <v>0</v>
      </c>
      <c r="R13" s="591" t="inlineStr">
        <is>
          <t xml:space="preserve"/>
        </is>
      </c>
      <c r="T13">
        <v>1</v>
      </c>
    </row>
    <row r="14">
      <c r="B14" s="589" t="inlineStr">
        <is>
          <t xml:space="preserve">   A1-3-a  방문객 신원확인·출입증 발급</t>
        </is>
      </c>
      <c r="C14" s="590">
        <v>17684.1962</v>
      </c>
      <c r="D14" s="598">
        <f>SUM(E14:J14)</f>
        <v>839.04</v>
      </c>
      <c r="E14" s="598">
        <v>565.49</v>
      </c>
      <c r="F14" s="598">
        <v>0</v>
      </c>
      <c r="G14" s="598">
        <v>239.0689</v>
      </c>
      <c r="H14" s="598">
        <v>0</v>
      </c>
      <c r="I14" s="598">
        <v>34.4811</v>
      </c>
      <c r="J14" s="598">
        <v>0</v>
      </c>
      <c r="K14" s="590">
        <f>SUM(L14:Q14)</f>
        <v>14837748</v>
      </c>
      <c r="L14" s="590">
        <v>10000236</v>
      </c>
      <c r="M14" s="590">
        <v>0</v>
      </c>
      <c r="N14" s="590">
        <v>4227742</v>
      </c>
      <c r="O14" s="590">
        <v>0</v>
      </c>
      <c r="P14" s="590">
        <v>609770</v>
      </c>
      <c r="Q14" s="590">
        <v>0</v>
      </c>
      <c r="R14" s="591" t="inlineStr">
        <is>
          <t xml:space="preserve"/>
        </is>
      </c>
      <c r="T14">
        <v>1</v>
      </c>
    </row>
    <row r="15">
      <c r="B15" s="589" t="inlineStr">
        <is>
          <t xml:space="preserve">   A1-3-b  출입증 회수·방문 대장 정리</t>
        </is>
      </c>
      <c r="C15" s="590">
        <v>17684.1533</v>
      </c>
      <c r="D15" s="598">
        <f>SUM(E15:J15)</f>
        <v>209.76</v>
      </c>
      <c r="E15" s="598">
        <v>141.3725</v>
      </c>
      <c r="F15" s="598">
        <v>0</v>
      </c>
      <c r="G15" s="598">
        <v>59.7672</v>
      </c>
      <c r="H15" s="598">
        <v>0</v>
      </c>
      <c r="I15" s="598">
        <v>8.6203</v>
      </c>
      <c r="J15" s="598">
        <v>0</v>
      </c>
      <c r="K15" s="590">
        <f>SUM(L15:Q15)</f>
        <v>3709428</v>
      </c>
      <c r="L15" s="590">
        <v>2500053</v>
      </c>
      <c r="M15" s="590">
        <v>0</v>
      </c>
      <c r="N15" s="590">
        <v>1056933</v>
      </c>
      <c r="O15" s="590">
        <v>0</v>
      </c>
      <c r="P15" s="590">
        <v>152442</v>
      </c>
      <c r="Q15" s="590">
        <v>0</v>
      </c>
      <c r="R15" s="591" t="inlineStr">
        <is>
          <t xml:space="preserve"/>
        </is>
      </c>
      <c r="T15">
        <v>1</v>
      </c>
    </row>
    <row r="16">
      <c r="B16" s="589" t="inlineStr">
        <is>
          <t xml:space="preserve">   A1-3-c  사전 방문예약 확인·접견자 연락</t>
        </is>
      </c>
      <c r="C16" s="590">
        <v>17684.2105</v>
      </c>
      <c r="D16" s="598">
        <f>SUM(E16:J16)</f>
        <v>167.808</v>
      </c>
      <c r="E16" s="598">
        <v>113.098</v>
      </c>
      <c r="F16" s="598">
        <v>0</v>
      </c>
      <c r="G16" s="598">
        <v>47.8138</v>
      </c>
      <c r="H16" s="598">
        <v>0</v>
      </c>
      <c r="I16" s="598">
        <v>6.8962</v>
      </c>
      <c r="J16" s="598">
        <v>0</v>
      </c>
      <c r="K16" s="590">
        <f>SUM(L16:Q16)</f>
        <v>2967552</v>
      </c>
      <c r="L16" s="590">
        <v>2000049</v>
      </c>
      <c r="M16" s="590">
        <v>0</v>
      </c>
      <c r="N16" s="590">
        <v>845549</v>
      </c>
      <c r="O16" s="590">
        <v>0</v>
      </c>
      <c r="P16" s="590">
        <v>121954</v>
      </c>
      <c r="Q16" s="590">
        <v>0</v>
      </c>
      <c r="R16" s="591" t="inlineStr">
        <is>
          <t xml:space="preserve"/>
        </is>
      </c>
      <c r="T16">
        <v>1</v>
      </c>
    </row>
    <row r="17">
      <c r="B17" s="589" t="inlineStr">
        <is>
          <t xml:space="preserve">   A1-4-a  반출입증 확인·물품 대조</t>
        </is>
      </c>
      <c r="C17" s="590">
        <v>17684.1697</v>
      </c>
      <c r="D17" s="598">
        <f>SUM(E17:J17)</f>
        <v>293.664</v>
      </c>
      <c r="E17" s="598">
        <v>197.9215</v>
      </c>
      <c r="F17" s="598">
        <v>0</v>
      </c>
      <c r="G17" s="598">
        <v>83.6741</v>
      </c>
      <c r="H17" s="598">
        <v>0</v>
      </c>
      <c r="I17" s="598">
        <v>12.0684</v>
      </c>
      <c r="J17" s="598">
        <v>0</v>
      </c>
      <c r="K17" s="590">
        <f>SUM(L17:Q17)</f>
        <v>5193204</v>
      </c>
      <c r="L17" s="590">
        <v>3500077</v>
      </c>
      <c r="M17" s="590">
        <v>0</v>
      </c>
      <c r="N17" s="590">
        <v>1479708</v>
      </c>
      <c r="O17" s="590">
        <v>0</v>
      </c>
      <c r="P17" s="590">
        <v>213419</v>
      </c>
      <c r="Q17" s="590">
        <v>0</v>
      </c>
      <c r="R17" s="591" t="inlineStr">
        <is>
          <t xml:space="preserve"/>
        </is>
      </c>
      <c r="T17">
        <v>1</v>
      </c>
    </row>
    <row r="18">
      <c r="B18" s="589" t="inlineStr">
        <is>
          <t xml:space="preserve">   A1-4-b  반입 금지물품(화기·위험물) 검색</t>
        </is>
      </c>
      <c r="C18" s="590">
        <v>17684.2105</v>
      </c>
      <c r="D18" s="598">
        <f>SUM(E18:J18)</f>
        <v>419.52</v>
      </c>
      <c r="E18" s="598">
        <v>282.745</v>
      </c>
      <c r="F18" s="598">
        <v>0</v>
      </c>
      <c r="G18" s="598">
        <v>119.5345</v>
      </c>
      <c r="H18" s="598">
        <v>0</v>
      </c>
      <c r="I18" s="598">
        <v>17.2405</v>
      </c>
      <c r="J18" s="598">
        <v>0</v>
      </c>
      <c r="K18" s="590">
        <f>SUM(L18:Q18)</f>
        <v>7418880</v>
      </c>
      <c r="L18" s="590">
        <v>5000122</v>
      </c>
      <c r="M18" s="590">
        <v>0</v>
      </c>
      <c r="N18" s="590">
        <v>2113873</v>
      </c>
      <c r="O18" s="590">
        <v>0</v>
      </c>
      <c r="P18" s="590">
        <v>304885</v>
      </c>
      <c r="Q18" s="590">
        <v>0</v>
      </c>
      <c r="R18" s="591" t="inlineStr">
        <is>
          <t xml:space="preserve"/>
        </is>
      </c>
      <c r="T18">
        <v>1</v>
      </c>
    </row>
    <row r="19">
      <c r="B19" s="589" t="inlineStr">
        <is>
          <t xml:space="preserve">   A1-5-a  택배 수령·보관 등록</t>
        </is>
      </c>
      <c r="C19" s="590">
        <v>17684.2105</v>
      </c>
      <c r="D19" s="598">
        <f>SUM(E19:J19)</f>
        <v>279.68</v>
      </c>
      <c r="E19" s="598">
        <v>188.4967</v>
      </c>
      <c r="F19" s="598">
        <v>0</v>
      </c>
      <c r="G19" s="598">
        <v>79.6896</v>
      </c>
      <c r="H19" s="598">
        <v>0</v>
      </c>
      <c r="I19" s="598">
        <v>11.4937</v>
      </c>
      <c r="J19" s="598">
        <v>0</v>
      </c>
      <c r="K19" s="590">
        <f>SUM(L19:Q19)</f>
        <v>4945920</v>
      </c>
      <c r="L19" s="590">
        <v>3333415</v>
      </c>
      <c r="M19" s="590">
        <v>0</v>
      </c>
      <c r="N19" s="590">
        <v>1409248</v>
      </c>
      <c r="O19" s="590">
        <v>0</v>
      </c>
      <c r="P19" s="590">
        <v>203257</v>
      </c>
      <c r="Q19" s="590">
        <v>0</v>
      </c>
      <c r="R19" s="591" t="inlineStr">
        <is>
          <t xml:space="preserve"/>
        </is>
      </c>
      <c r="T19">
        <v>1</v>
      </c>
    </row>
    <row r="20">
      <c r="B20" s="589" t="inlineStr">
        <is>
          <t xml:space="preserve">   A1-5-b  수령자 연락·인계 확인</t>
        </is>
      </c>
      <c r="C20" s="590">
        <v>17684.2105</v>
      </c>
      <c r="D20" s="598">
        <f>SUM(E20:J20)</f>
        <v>195.776</v>
      </c>
      <c r="E20" s="598">
        <v>131.9477</v>
      </c>
      <c r="F20" s="598">
        <v>0</v>
      </c>
      <c r="G20" s="598">
        <v>55.7828</v>
      </c>
      <c r="H20" s="598">
        <v>0</v>
      </c>
      <c r="I20" s="598">
        <v>8.0456</v>
      </c>
      <c r="J20" s="598">
        <v>0</v>
      </c>
      <c r="K20" s="590">
        <f>SUM(L20:Q20)</f>
        <v>3462144</v>
      </c>
      <c r="L20" s="590">
        <v>2333390</v>
      </c>
      <c r="M20" s="590">
        <v>0</v>
      </c>
      <c r="N20" s="590">
        <v>986474</v>
      </c>
      <c r="O20" s="590">
        <v>0</v>
      </c>
      <c r="P20" s="590">
        <v>142280</v>
      </c>
      <c r="Q20" s="590">
        <v>0</v>
      </c>
      <c r="R20" s="591" t="inlineStr">
        <is>
          <t xml:space="preserve"/>
        </is>
      </c>
      <c r="T20">
        <v>1</v>
      </c>
    </row>
    <row r="21">
      <c r="B21" s="589" t="inlineStr">
        <is>
          <t xml:space="preserve">   A1-5-c  등기·우편물 분류</t>
        </is>
      </c>
      <c r="C21" s="590">
        <v>17684.2105</v>
      </c>
      <c r="D21" s="598">
        <f>SUM(E21:J21)</f>
        <v>41.952</v>
      </c>
      <c r="E21" s="598">
        <v>28.2745</v>
      </c>
      <c r="F21" s="598">
        <v>0</v>
      </c>
      <c r="G21" s="598">
        <v>11.9534</v>
      </c>
      <c r="H21" s="598">
        <v>0</v>
      </c>
      <c r="I21" s="598">
        <v>1.7241</v>
      </c>
      <c r="J21" s="598">
        <v>0</v>
      </c>
      <c r="K21" s="590">
        <f>SUM(L21:Q21)</f>
        <v>741888</v>
      </c>
      <c r="L21" s="590">
        <v>500012</v>
      </c>
      <c r="M21" s="590">
        <v>0</v>
      </c>
      <c r="N21" s="590">
        <v>211387</v>
      </c>
      <c r="O21" s="590">
        <v>0</v>
      </c>
      <c r="P21" s="590">
        <v>30489</v>
      </c>
      <c r="Q21" s="590">
        <v>0</v>
      </c>
      <c r="R21" s="591" t="inlineStr">
        <is>
          <t xml:space="preserve"/>
        </is>
      </c>
      <c r="T21">
        <v>1</v>
      </c>
    </row>
    <row r="22" ht="17" customHeight="1">
      <c r="B22" s="592" t="inlineStr">
        <is>
          <t xml:space="preserve">A2  후문·부출입구</t>
        </is>
      </c>
      <c r="C22" s="593">
        <v>17684.1978</v>
      </c>
      <c r="D22" s="599">
        <f>SUM(E22:J22)</f>
        <v>3128.5714</v>
      </c>
      <c r="E22" s="599">
        <v>2890.9814</v>
      </c>
      <c r="F22" s="599">
        <v>94.2483</v>
      </c>
      <c r="G22" s="599">
        <v>85.4286</v>
      </c>
      <c r="H22" s="599">
        <v>39.8448</v>
      </c>
      <c r="I22" s="599">
        <v>12.3214</v>
      </c>
      <c r="J22" s="599">
        <v>5.7468</v>
      </c>
      <c r="K22" s="593">
        <f>SUM(L22:Q22)</f>
        <v>55326276</v>
      </c>
      <c r="L22" s="593">
        <v>51124685</v>
      </c>
      <c r="M22" s="593">
        <v>1666707</v>
      </c>
      <c r="N22" s="593">
        <v>1510736</v>
      </c>
      <c r="O22" s="593">
        <v>704624</v>
      </c>
      <c r="P22" s="593">
        <v>217895</v>
      </c>
      <c r="Q22" s="593">
        <v>101629</v>
      </c>
      <c r="R22" s="591" t="inlineStr">
        <is>
          <t xml:space="preserve"/>
        </is>
      </c>
      <c r="T22">
        <v>0</v>
      </c>
    </row>
    <row r="23">
      <c r="B23" s="589" t="inlineStr">
        <is>
          <t xml:space="preserve">   A2-1  후문 주간 상주 (07~19시)</t>
        </is>
      </c>
      <c r="C23" s="590">
        <v>17684.1962</v>
      </c>
      <c r="D23" s="598">
        <f>SUM(E23:J23)</f>
        <v>2688.91</v>
      </c>
      <c r="E23" s="598">
        <v>2688.91</v>
      </c>
      <c r="F23" s="598">
        <v>0</v>
      </c>
      <c r="G23" s="598">
        <v>0</v>
      </c>
      <c r="H23" s="598">
        <v>0</v>
      </c>
      <c r="I23" s="598">
        <v>0</v>
      </c>
      <c r="J23" s="598">
        <v>0</v>
      </c>
      <c r="K23" s="590">
        <f>SUM(L23:Q23)</f>
        <v>47551212</v>
      </c>
      <c r="L23" s="590">
        <v>47551212</v>
      </c>
      <c r="M23" s="590">
        <v>0</v>
      </c>
      <c r="N23" s="590">
        <v>0</v>
      </c>
      <c r="O23" s="590">
        <v>0</v>
      </c>
      <c r="P23" s="590">
        <v>0</v>
      </c>
      <c r="Q23" s="590">
        <v>0</v>
      </c>
      <c r="R23" s="591" t="inlineStr">
        <is>
          <t xml:space="preserve">상주 시간 중 다른 업무를 뺀 경계·대기</t>
        </is>
      </c>
      <c r="T23">
        <v>1</v>
      </c>
    </row>
    <row r="24">
      <c r="B24" s="589" t="inlineStr">
        <is>
          <t xml:space="preserve">   A2-2  출퇴근 시간 출입 통제</t>
        </is>
      </c>
      <c r="C24" s="590">
        <v>17684.2063</v>
      </c>
      <c r="D24" s="598">
        <f>SUM(E24:J24)</f>
        <v>299.8214</v>
      </c>
      <c r="E24" s="598">
        <v>202.0714</v>
      </c>
      <c r="F24" s="598">
        <v>0</v>
      </c>
      <c r="G24" s="598">
        <v>85.4286</v>
      </c>
      <c r="H24" s="598">
        <v>0</v>
      </c>
      <c r="I24" s="598">
        <v>12.3214</v>
      </c>
      <c r="J24" s="598">
        <v>0</v>
      </c>
      <c r="K24" s="590">
        <f>SUM(L24:Q24)</f>
        <v>5302104</v>
      </c>
      <c r="L24" s="590">
        <v>3573473</v>
      </c>
      <c r="M24" s="590">
        <v>0</v>
      </c>
      <c r="N24" s="590">
        <v>1510736</v>
      </c>
      <c r="O24" s="590">
        <v>0</v>
      </c>
      <c r="P24" s="590">
        <v>217895</v>
      </c>
      <c r="Q24" s="590">
        <v>0</v>
      </c>
      <c r="R24" s="591" t="inlineStr">
        <is>
          <t xml:space="preserve"/>
        </is>
      </c>
      <c r="T24">
        <v>1</v>
      </c>
    </row>
    <row r="25">
      <c r="B25" s="589" t="inlineStr">
        <is>
          <t xml:space="preserve">   A2-3  야간 출입문 시건·개방</t>
        </is>
      </c>
      <c r="C25" s="590">
        <v>17684.2105</v>
      </c>
      <c r="D25" s="598">
        <f>SUM(E25:J25)</f>
        <v>139.84</v>
      </c>
      <c r="E25" s="598">
        <v>0</v>
      </c>
      <c r="F25" s="598">
        <v>94.2483</v>
      </c>
      <c r="G25" s="598">
        <v>0</v>
      </c>
      <c r="H25" s="598">
        <v>39.8448</v>
      </c>
      <c r="I25" s="598">
        <v>0</v>
      </c>
      <c r="J25" s="598">
        <v>5.7468</v>
      </c>
      <c r="K25" s="590">
        <f>SUM(L25:Q25)</f>
        <v>2472960</v>
      </c>
      <c r="L25" s="590">
        <v>0</v>
      </c>
      <c r="M25" s="590">
        <v>1666707</v>
      </c>
      <c r="N25" s="590">
        <v>0</v>
      </c>
      <c r="O25" s="590">
        <v>704624</v>
      </c>
      <c r="P25" s="590">
        <v>0</v>
      </c>
      <c r="Q25" s="590">
        <v>101629</v>
      </c>
      <c r="R25" s="591" t="inlineStr">
        <is>
          <t xml:space="preserve"/>
        </is>
      </c>
      <c r="T25">
        <v>1</v>
      </c>
    </row>
    <row r="26" ht="17" customHeight="1">
      <c r="B26" s="592" t="inlineStr">
        <is>
          <t xml:space="preserve">A3  출입보안시스템</t>
        </is>
      </c>
      <c r="C26" s="593">
        <v>17684.1918</v>
      </c>
      <c r="D26" s="599">
        <f>SUM(E26:J26)</f>
        <v>224.7702</v>
      </c>
      <c r="E26" s="599">
        <v>167.7806</v>
      </c>
      <c r="F26" s="599">
        <v>0</v>
      </c>
      <c r="G26" s="599">
        <v>49.806</v>
      </c>
      <c r="H26" s="599">
        <v>0</v>
      </c>
      <c r="I26" s="599">
        <v>7.1836</v>
      </c>
      <c r="J26" s="599">
        <v>0</v>
      </c>
      <c r="K26" s="593">
        <f>SUM(L26:Q26)</f>
        <v>3974880</v>
      </c>
      <c r="L26" s="593">
        <v>2967065</v>
      </c>
      <c r="M26" s="593">
        <v>0</v>
      </c>
      <c r="N26" s="593">
        <v>880780</v>
      </c>
      <c r="O26" s="593">
        <v>0</v>
      </c>
      <c r="P26" s="593">
        <v>127035</v>
      </c>
      <c r="Q26" s="593">
        <v>0</v>
      </c>
      <c r="R26" s="591" t="inlineStr">
        <is>
          <t xml:space="preserve"/>
        </is>
      </c>
      <c r="T26">
        <v>0</v>
      </c>
    </row>
    <row r="27">
      <c r="B27" s="589" t="inlineStr">
        <is>
          <t xml:space="preserve">   A3-1  출입카드 발급·회수·분실 처리</t>
        </is>
      </c>
      <c r="C27" s="590">
        <v>17684.1263</v>
      </c>
      <c r="D27" s="598">
        <f>SUM(E27:J27)</f>
        <v>49.9702</v>
      </c>
      <c r="E27" s="598">
        <v>49.9702</v>
      </c>
      <c r="F27" s="598">
        <v>0</v>
      </c>
      <c r="G27" s="598">
        <v>0</v>
      </c>
      <c r="H27" s="598">
        <v>0</v>
      </c>
      <c r="I27" s="598">
        <v>0</v>
      </c>
      <c r="J27" s="598">
        <v>0</v>
      </c>
      <c r="K27" s="590">
        <f>SUM(L27:Q27)</f>
        <v>883680</v>
      </c>
      <c r="L27" s="590">
        <v>883680</v>
      </c>
      <c r="M27" s="590">
        <v>0</v>
      </c>
      <c r="N27" s="590">
        <v>0</v>
      </c>
      <c r="O27" s="590">
        <v>0</v>
      </c>
      <c r="P27" s="590">
        <v>0</v>
      </c>
      <c r="Q27" s="590">
        <v>0</v>
      </c>
      <c r="R27" s="591" t="inlineStr">
        <is>
          <t xml:space="preserve"/>
        </is>
      </c>
      <c r="T27">
        <v>1</v>
      </c>
    </row>
    <row r="28">
      <c r="B28" s="589" t="inlineStr">
        <is>
          <t xml:space="preserve">   A3-2  출입기록 확인·이상 출입 조치</t>
        </is>
      </c>
      <c r="C28" s="590">
        <v>17684.2105</v>
      </c>
      <c r="D28" s="598">
        <f>SUM(E28:J28)</f>
        <v>104.88</v>
      </c>
      <c r="E28" s="598">
        <v>70.6862</v>
      </c>
      <c r="F28" s="598">
        <v>0</v>
      </c>
      <c r="G28" s="598">
        <v>29.8836</v>
      </c>
      <c r="H28" s="598">
        <v>0</v>
      </c>
      <c r="I28" s="598">
        <v>4.3101</v>
      </c>
      <c r="J28" s="598">
        <v>0</v>
      </c>
      <c r="K28" s="590">
        <f>SUM(L28:Q28)</f>
        <v>1854720</v>
      </c>
      <c r="L28" s="590">
        <v>1250031</v>
      </c>
      <c r="M28" s="590">
        <v>0</v>
      </c>
      <c r="N28" s="590">
        <v>528468</v>
      </c>
      <c r="O28" s="590">
        <v>0</v>
      </c>
      <c r="P28" s="590">
        <v>76221</v>
      </c>
      <c r="Q28" s="590">
        <v>0</v>
      </c>
      <c r="R28" s="591" t="inlineStr">
        <is>
          <t xml:space="preserve"/>
        </is>
      </c>
      <c r="T28">
        <v>1</v>
      </c>
    </row>
    <row r="29">
      <c r="B29" s="589" t="inlineStr">
        <is>
          <t xml:space="preserve">   A3-3  스피드게이트·출입통제기 작동 확인</t>
        </is>
      </c>
      <c r="C29" s="590">
        <v>17684.2105</v>
      </c>
      <c r="D29" s="598">
        <f>SUM(E29:J29)</f>
        <v>69.92</v>
      </c>
      <c r="E29" s="598">
        <v>47.1242</v>
      </c>
      <c r="F29" s="598">
        <v>0</v>
      </c>
      <c r="G29" s="598">
        <v>19.9224</v>
      </c>
      <c r="H29" s="598">
        <v>0</v>
      </c>
      <c r="I29" s="598">
        <v>2.8734</v>
      </c>
      <c r="J29" s="598">
        <v>0</v>
      </c>
      <c r="K29" s="590">
        <f>SUM(L29:Q29)</f>
        <v>1236480</v>
      </c>
      <c r="L29" s="590">
        <v>833354</v>
      </c>
      <c r="M29" s="590">
        <v>0</v>
      </c>
      <c r="N29" s="590">
        <v>352312</v>
      </c>
      <c r="O29" s="590">
        <v>0</v>
      </c>
      <c r="P29" s="590">
        <v>50814</v>
      </c>
      <c r="Q29" s="590">
        <v>0</v>
      </c>
      <c r="R29" s="591" t="inlineStr">
        <is>
          <t xml:space="preserve"/>
        </is>
      </c>
      <c r="T29">
        <v>1</v>
      </c>
    </row>
    <row r="30" ht="17" customHeight="1">
      <c r="B30" s="592" t="inlineStr">
        <is>
          <t xml:space="preserve">B  순찰</t>
        </is>
      </c>
      <c r="C30" s="593">
        <v>17684.1988</v>
      </c>
      <c r="D30" s="599">
        <f>SUM(E30:J30)</f>
        <v>5015.472</v>
      </c>
      <c r="E30" s="599">
        <v>3242.7989</v>
      </c>
      <c r="F30" s="599">
        <v>254.4705</v>
      </c>
      <c r="G30" s="599">
        <v>1219.2516</v>
      </c>
      <c r="H30" s="599">
        <v>107.581</v>
      </c>
      <c r="I30" s="599">
        <v>175.8536</v>
      </c>
      <c r="J30" s="599">
        <v>15.5165</v>
      </c>
      <c r="K30" s="593">
        <f>SUM(L30:Q30)</f>
        <v>88694604</v>
      </c>
      <c r="L30" s="593">
        <v>57346294</v>
      </c>
      <c r="M30" s="593">
        <v>4500110</v>
      </c>
      <c r="N30" s="593">
        <v>21561488</v>
      </c>
      <c r="O30" s="593">
        <v>1902485</v>
      </c>
      <c r="P30" s="593">
        <v>3109830</v>
      </c>
      <c r="Q30" s="593">
        <v>274397</v>
      </c>
      <c r="R30" s="591" t="inlineStr">
        <is>
          <t xml:space="preserve"/>
        </is>
      </c>
      <c r="T30">
        <v>0</v>
      </c>
    </row>
    <row r="31" ht="17" customHeight="1">
      <c r="B31" s="592" t="inlineStr">
        <is>
          <t xml:space="preserve">B1  정기순찰</t>
        </is>
      </c>
      <c r="C31" s="593">
        <v>17684.2011</v>
      </c>
      <c r="D31" s="599">
        <f>SUM(E31:J31)</f>
        <v>3817.632</v>
      </c>
      <c r="E31" s="599">
        <v>2318.5089</v>
      </c>
      <c r="F31" s="599">
        <v>254.4705</v>
      </c>
      <c r="G31" s="599">
        <v>980.1826</v>
      </c>
      <c r="H31" s="599">
        <v>107.581</v>
      </c>
      <c r="I31" s="599">
        <v>141.3725</v>
      </c>
      <c r="J31" s="599">
        <v>15.5165</v>
      </c>
      <c r="K31" s="593">
        <f>SUM(L31:Q31)</f>
        <v>67511772</v>
      </c>
      <c r="L31" s="593">
        <v>41000974</v>
      </c>
      <c r="M31" s="593">
        <v>4500110</v>
      </c>
      <c r="N31" s="593">
        <v>17333746</v>
      </c>
      <c r="O31" s="593">
        <v>1902485</v>
      </c>
      <c r="P31" s="593">
        <v>2500060</v>
      </c>
      <c r="Q31" s="593">
        <v>274397</v>
      </c>
      <c r="R31" s="591" t="inlineStr">
        <is>
          <t xml:space="preserve"/>
        </is>
      </c>
      <c r="T31">
        <v>0</v>
      </c>
    </row>
    <row r="32">
      <c r="B32" s="589" t="inlineStr">
        <is>
          <t xml:space="preserve">   B1-1  외곽 울타리·담장 순찰</t>
        </is>
      </c>
      <c r="C32" s="590">
        <v>17684.1962</v>
      </c>
      <c r="D32" s="598">
        <f>SUM(E32:J32)</f>
        <v>1678.08</v>
      </c>
      <c r="E32" s="598">
        <v>1130.9799</v>
      </c>
      <c r="F32" s="598">
        <v>0</v>
      </c>
      <c r="G32" s="598">
        <v>478.1379</v>
      </c>
      <c r="H32" s="598">
        <v>0</v>
      </c>
      <c r="I32" s="598">
        <v>68.9622</v>
      </c>
      <c r="J32" s="598">
        <v>0</v>
      </c>
      <c r="K32" s="590">
        <f>SUM(L32:Q32)</f>
        <v>29675496</v>
      </c>
      <c r="L32" s="590">
        <v>20000471</v>
      </c>
      <c r="M32" s="590">
        <v>0</v>
      </c>
      <c r="N32" s="590">
        <v>8455484</v>
      </c>
      <c r="O32" s="590">
        <v>0</v>
      </c>
      <c r="P32" s="590">
        <v>1219541</v>
      </c>
      <c r="Q32" s="590">
        <v>0</v>
      </c>
      <c r="R32" s="591" t="inlineStr">
        <is>
          <t xml:space="preserve"/>
        </is>
      </c>
      <c r="T32">
        <v>1</v>
      </c>
    </row>
    <row r="33">
      <c r="B33" s="589" t="inlineStr">
        <is>
          <t xml:space="preserve">   B1-2  건물 내부 층별 순찰</t>
        </is>
      </c>
      <c r="C33" s="590">
        <v>17684.201</v>
      </c>
      <c r="D33" s="598">
        <f>SUM(E33:J33)</f>
        <v>1258.56</v>
      </c>
      <c r="E33" s="598">
        <v>848.235</v>
      </c>
      <c r="F33" s="598">
        <v>0</v>
      </c>
      <c r="G33" s="598">
        <v>358.6034</v>
      </c>
      <c r="H33" s="598">
        <v>0</v>
      </c>
      <c r="I33" s="598">
        <v>51.7216</v>
      </c>
      <c r="J33" s="598">
        <v>0</v>
      </c>
      <c r="K33" s="590">
        <f>SUM(L33:Q33)</f>
        <v>22256628</v>
      </c>
      <c r="L33" s="590">
        <v>15000357</v>
      </c>
      <c r="M33" s="590">
        <v>0</v>
      </c>
      <c r="N33" s="590">
        <v>6341615</v>
      </c>
      <c r="O33" s="590">
        <v>0</v>
      </c>
      <c r="P33" s="590">
        <v>914656</v>
      </c>
      <c r="Q33" s="590">
        <v>0</v>
      </c>
      <c r="R33" s="591" t="inlineStr">
        <is>
          <t xml:space="preserve"/>
        </is>
      </c>
      <c r="T33">
        <v>1</v>
      </c>
    </row>
    <row r="34">
      <c r="B34" s="589" t="inlineStr">
        <is>
          <t xml:space="preserve">   B1-3  주차장 순찰</t>
        </is>
      </c>
      <c r="C34" s="590">
        <v>17684.2105</v>
      </c>
      <c r="D34" s="598">
        <f>SUM(E34:J34)</f>
        <v>503.424</v>
      </c>
      <c r="E34" s="598">
        <v>339.294</v>
      </c>
      <c r="F34" s="598">
        <v>0</v>
      </c>
      <c r="G34" s="598">
        <v>143.4414</v>
      </c>
      <c r="H34" s="598">
        <v>0</v>
      </c>
      <c r="I34" s="598">
        <v>20.6887</v>
      </c>
      <c r="J34" s="598">
        <v>0</v>
      </c>
      <c r="K34" s="590">
        <f>SUM(L34:Q34)</f>
        <v>8902656</v>
      </c>
      <c r="L34" s="590">
        <v>6000146</v>
      </c>
      <c r="M34" s="590">
        <v>0</v>
      </c>
      <c r="N34" s="590">
        <v>2536647</v>
      </c>
      <c r="O34" s="590">
        <v>0</v>
      </c>
      <c r="P34" s="590">
        <v>365863</v>
      </c>
      <c r="Q34" s="590">
        <v>0</v>
      </c>
      <c r="R34" s="591" t="inlineStr">
        <is>
          <t xml:space="preserve"/>
        </is>
      </c>
      <c r="T34">
        <v>1</v>
      </c>
    </row>
    <row r="35">
      <c r="B35" s="589" t="inlineStr">
        <is>
          <t xml:space="preserve">   B1-4  야간 문단속·소등·전열기구 확인</t>
        </is>
      </c>
      <c r="C35" s="590">
        <v>17684.2105</v>
      </c>
      <c r="D35" s="598">
        <f>SUM(E35:J35)</f>
        <v>377.568</v>
      </c>
      <c r="E35" s="598">
        <v>0</v>
      </c>
      <c r="F35" s="598">
        <v>254.4705</v>
      </c>
      <c r="G35" s="598">
        <v>0</v>
      </c>
      <c r="H35" s="598">
        <v>107.581</v>
      </c>
      <c r="I35" s="598">
        <v>0</v>
      </c>
      <c r="J35" s="598">
        <v>15.5165</v>
      </c>
      <c r="K35" s="590">
        <f>SUM(L35:Q35)</f>
        <v>6676992</v>
      </c>
      <c r="L35" s="590">
        <v>0</v>
      </c>
      <c r="M35" s="590">
        <v>4500110</v>
      </c>
      <c r="N35" s="590">
        <v>0</v>
      </c>
      <c r="O35" s="590">
        <v>1902485</v>
      </c>
      <c r="P35" s="590">
        <v>0</v>
      </c>
      <c r="Q35" s="590">
        <v>274397</v>
      </c>
      <c r="R35" s="591" t="inlineStr">
        <is>
          <t xml:space="preserve"/>
        </is>
      </c>
      <c r="T35">
        <v>1</v>
      </c>
    </row>
    <row r="36" ht="17" customHeight="1">
      <c r="B36" s="592" t="inlineStr">
        <is>
          <t xml:space="preserve">B2  특별순찰</t>
        </is>
      </c>
      <c r="C36" s="593">
        <v>17684.1915</v>
      </c>
      <c r="D36" s="599">
        <f>SUM(E36:J36)</f>
        <v>1197.84</v>
      </c>
      <c r="E36" s="599">
        <v>924.29</v>
      </c>
      <c r="F36" s="599">
        <v>0</v>
      </c>
      <c r="G36" s="599">
        <v>239.0689</v>
      </c>
      <c r="H36" s="599">
        <v>0</v>
      </c>
      <c r="I36" s="599">
        <v>34.4811</v>
      </c>
      <c r="J36" s="599">
        <v>0</v>
      </c>
      <c r="K36" s="593">
        <f>SUM(L36:Q36)</f>
        <v>21182832</v>
      </c>
      <c r="L36" s="593">
        <v>16345320</v>
      </c>
      <c r="M36" s="593">
        <v>0</v>
      </c>
      <c r="N36" s="593">
        <v>4227742</v>
      </c>
      <c r="O36" s="593">
        <v>0</v>
      </c>
      <c r="P36" s="593">
        <v>609770</v>
      </c>
      <c r="Q36" s="593">
        <v>0</v>
      </c>
      <c r="R36" s="591" t="inlineStr">
        <is>
          <t xml:space="preserve"/>
        </is>
      </c>
      <c r="T36">
        <v>0</v>
      </c>
    </row>
    <row r="37">
      <c r="B37" s="589" t="inlineStr">
        <is>
          <t xml:space="preserve">   B2-1  취약지역·사각지대 집중 순찰</t>
        </is>
      </c>
      <c r="C37" s="590">
        <v>17684.1962</v>
      </c>
      <c r="D37" s="598">
        <f>SUM(E37:J37)</f>
        <v>839.04</v>
      </c>
      <c r="E37" s="598">
        <v>565.49</v>
      </c>
      <c r="F37" s="598">
        <v>0</v>
      </c>
      <c r="G37" s="598">
        <v>239.0689</v>
      </c>
      <c r="H37" s="598">
        <v>0</v>
      </c>
      <c r="I37" s="598">
        <v>34.4811</v>
      </c>
      <c r="J37" s="598">
        <v>0</v>
      </c>
      <c r="K37" s="590">
        <f>SUM(L37:Q37)</f>
        <v>14837748</v>
      </c>
      <c r="L37" s="590">
        <v>10000236</v>
      </c>
      <c r="M37" s="590">
        <v>0</v>
      </c>
      <c r="N37" s="590">
        <v>4227742</v>
      </c>
      <c r="O37" s="590">
        <v>0</v>
      </c>
      <c r="P37" s="590">
        <v>609770</v>
      </c>
      <c r="Q37" s="590">
        <v>0</v>
      </c>
      <c r="R37" s="591" t="inlineStr">
        <is>
          <t xml:space="preserve"/>
        </is>
      </c>
      <c r="T37">
        <v>1</v>
      </c>
    </row>
    <row r="38">
      <c r="B38" s="589" t="inlineStr">
        <is>
          <t xml:space="preserve">   B2-2  휴일·공휴일 전수 점검</t>
        </is>
      </c>
      <c r="C38" s="590">
        <v>17684.1667</v>
      </c>
      <c r="D38" s="598">
        <f>SUM(E38:J38)</f>
        <v>331.2</v>
      </c>
      <c r="E38" s="598">
        <v>331.2</v>
      </c>
      <c r="F38" s="598">
        <v>0</v>
      </c>
      <c r="G38" s="598">
        <v>0</v>
      </c>
      <c r="H38" s="598">
        <v>0</v>
      </c>
      <c r="I38" s="598">
        <v>0</v>
      </c>
      <c r="J38" s="598">
        <v>0</v>
      </c>
      <c r="K38" s="590">
        <f>SUM(L38:Q38)</f>
        <v>5856996</v>
      </c>
      <c r="L38" s="590">
        <v>5856996</v>
      </c>
      <c r="M38" s="590">
        <v>0</v>
      </c>
      <c r="N38" s="590">
        <v>0</v>
      </c>
      <c r="O38" s="590">
        <v>0</v>
      </c>
      <c r="P38" s="590">
        <v>0</v>
      </c>
      <c r="Q38" s="590">
        <v>0</v>
      </c>
      <c r="R38" s="591" t="inlineStr">
        <is>
          <t xml:space="preserve"/>
        </is>
      </c>
      <c r="T38">
        <v>1</v>
      </c>
    </row>
    <row r="39">
      <c r="B39" s="589" t="inlineStr">
        <is>
          <t xml:space="preserve">   B2-3  기상특보(태풍·폭우·폭설) 비상 순찰</t>
        </is>
      </c>
      <c r="C39" s="590">
        <v>17684.3478</v>
      </c>
      <c r="D39" s="598">
        <f>SUM(E39:J39)</f>
        <v>27.6</v>
      </c>
      <c r="E39" s="598">
        <v>27.6</v>
      </c>
      <c r="F39" s="598">
        <v>0</v>
      </c>
      <c r="G39" s="598">
        <v>0</v>
      </c>
      <c r="H39" s="598">
        <v>0</v>
      </c>
      <c r="I39" s="598">
        <v>0</v>
      </c>
      <c r="J39" s="598">
        <v>0</v>
      </c>
      <c r="K39" s="590">
        <f>SUM(L39:Q39)</f>
        <v>488088</v>
      </c>
      <c r="L39" s="590">
        <v>488088</v>
      </c>
      <c r="M39" s="590">
        <v>0</v>
      </c>
      <c r="N39" s="590">
        <v>0</v>
      </c>
      <c r="O39" s="590">
        <v>0</v>
      </c>
      <c r="P39" s="590">
        <v>0</v>
      </c>
      <c r="Q39" s="590">
        <v>0</v>
      </c>
      <c r="R39" s="591" t="inlineStr">
        <is>
          <t xml:space="preserve"/>
        </is>
      </c>
      <c r="T39">
        <v>1</v>
      </c>
    </row>
    <row r="40" ht="17" customHeight="1">
      <c r="B40" s="592" t="inlineStr">
        <is>
          <t xml:space="preserve">C  상황대처</t>
        </is>
      </c>
      <c r="C40" s="593">
        <v>17684.1478</v>
      </c>
      <c r="D40" s="599">
        <f>SUM(E40:J40)</f>
        <v>628.0533</v>
      </c>
      <c r="E40" s="599">
        <v>491.2783</v>
      </c>
      <c r="F40" s="599">
        <v>0</v>
      </c>
      <c r="G40" s="599">
        <v>119.5345</v>
      </c>
      <c r="H40" s="599">
        <v>0</v>
      </c>
      <c r="I40" s="599">
        <v>17.2405</v>
      </c>
      <c r="J40" s="599">
        <v>0</v>
      </c>
      <c r="K40" s="593">
        <f>SUM(L40:Q40)</f>
        <v>11106588</v>
      </c>
      <c r="L40" s="593">
        <v>8687838</v>
      </c>
      <c r="M40" s="593">
        <v>0</v>
      </c>
      <c r="N40" s="593">
        <v>2113866</v>
      </c>
      <c r="O40" s="593">
        <v>0</v>
      </c>
      <c r="P40" s="593">
        <v>304884</v>
      </c>
      <c r="Q40" s="593">
        <v>0</v>
      </c>
      <c r="R40" s="591" t="inlineStr">
        <is>
          <t xml:space="preserve"/>
        </is>
      </c>
      <c r="T40">
        <v>0</v>
      </c>
    </row>
    <row r="41" ht="17" customHeight="1">
      <c r="B41" s="592" t="inlineStr">
        <is>
          <t xml:space="preserve">C1  화재·소방</t>
        </is>
      </c>
      <c r="C41" s="593">
        <v>17684.3785</v>
      </c>
      <c r="D41" s="599">
        <f>SUM(E41:J41)</f>
        <v>32.5833</v>
      </c>
      <c r="E41" s="599">
        <v>32.5833</v>
      </c>
      <c r="F41" s="599">
        <v>0</v>
      </c>
      <c r="G41" s="599">
        <v>0</v>
      </c>
      <c r="H41" s="599">
        <v>0</v>
      </c>
      <c r="I41" s="599">
        <v>0</v>
      </c>
      <c r="J41" s="599">
        <v>0</v>
      </c>
      <c r="K41" s="593">
        <f>SUM(L41:Q41)</f>
        <v>576216</v>
      </c>
      <c r="L41" s="593">
        <v>576216</v>
      </c>
      <c r="M41" s="593">
        <v>0</v>
      </c>
      <c r="N41" s="593">
        <v>0</v>
      </c>
      <c r="O41" s="593">
        <v>0</v>
      </c>
      <c r="P41" s="593">
        <v>0</v>
      </c>
      <c r="Q41" s="593">
        <v>0</v>
      </c>
      <c r="R41" s="591" t="inlineStr">
        <is>
          <t xml:space="preserve"/>
        </is>
      </c>
      <c r="T41">
        <v>0</v>
      </c>
    </row>
    <row r="42">
      <c r="B42" s="589" t="inlineStr">
        <is>
          <t xml:space="preserve">   C1-1  화재경보 발생 시 현장 출동·확인</t>
        </is>
      </c>
      <c r="C42" s="590">
        <v>17684.058</v>
      </c>
      <c r="D42" s="598">
        <f>SUM(E42:J42)</f>
        <v>20.7</v>
      </c>
      <c r="E42" s="598">
        <v>20.7</v>
      </c>
      <c r="F42" s="598">
        <v>0</v>
      </c>
      <c r="G42" s="598">
        <v>0</v>
      </c>
      <c r="H42" s="598">
        <v>0</v>
      </c>
      <c r="I42" s="598">
        <v>0</v>
      </c>
      <c r="J42" s="598">
        <v>0</v>
      </c>
      <c r="K42" s="590">
        <f>SUM(L42:Q42)</f>
        <v>366060</v>
      </c>
      <c r="L42" s="590">
        <v>366060</v>
      </c>
      <c r="M42" s="590">
        <v>0</v>
      </c>
      <c r="N42" s="590">
        <v>0</v>
      </c>
      <c r="O42" s="590">
        <v>0</v>
      </c>
      <c r="P42" s="590">
        <v>0</v>
      </c>
      <c r="Q42" s="590">
        <v>0</v>
      </c>
      <c r="R42" s="591" t="inlineStr">
        <is>
          <t xml:space="preserve"/>
        </is>
      </c>
      <c r="T42">
        <v>1</v>
      </c>
    </row>
    <row r="43">
      <c r="B43" s="589" t="inlineStr">
        <is>
          <t xml:space="preserve">   C1-2  비화재보 복구·수신기 리셋</t>
        </is>
      </c>
      <c r="C43" s="590">
        <v>17684.3478</v>
      </c>
      <c r="D43" s="598">
        <f>SUM(E43:J43)</f>
        <v>9.2</v>
      </c>
      <c r="E43" s="598">
        <v>9.2</v>
      </c>
      <c r="F43" s="598">
        <v>0</v>
      </c>
      <c r="G43" s="598">
        <v>0</v>
      </c>
      <c r="H43" s="598">
        <v>0</v>
      </c>
      <c r="I43" s="598">
        <v>0</v>
      </c>
      <c r="J43" s="598">
        <v>0</v>
      </c>
      <c r="K43" s="590">
        <f>SUM(L43:Q43)</f>
        <v>162696</v>
      </c>
      <c r="L43" s="590">
        <v>162696</v>
      </c>
      <c r="M43" s="590">
        <v>0</v>
      </c>
      <c r="N43" s="590">
        <v>0</v>
      </c>
      <c r="O43" s="590">
        <v>0</v>
      </c>
      <c r="P43" s="590">
        <v>0</v>
      </c>
      <c r="Q43" s="590">
        <v>0</v>
      </c>
      <c r="R43" s="591" t="inlineStr">
        <is>
          <t xml:space="preserve"/>
        </is>
      </c>
      <c r="T43">
        <v>1</v>
      </c>
    </row>
    <row r="44">
      <c r="B44" s="589" t="inlineStr">
        <is>
          <t xml:space="preserve">   C1-3  초기 소화·피난 유도</t>
        </is>
      </c>
      <c r="C44" s="590">
        <v>17686.9565</v>
      </c>
      <c r="D44" s="598">
        <f>SUM(E44:J44)</f>
        <v>1.15</v>
      </c>
      <c r="E44" s="598">
        <v>1.15</v>
      </c>
      <c r="F44" s="598">
        <v>0</v>
      </c>
      <c r="G44" s="598">
        <v>0</v>
      </c>
      <c r="H44" s="598">
        <v>0</v>
      </c>
      <c r="I44" s="598">
        <v>0</v>
      </c>
      <c r="J44" s="598">
        <v>0</v>
      </c>
      <c r="K44" s="590">
        <f>SUM(L44:Q44)</f>
        <v>20340</v>
      </c>
      <c r="L44" s="590">
        <v>20340</v>
      </c>
      <c r="M44" s="590">
        <v>0</v>
      </c>
      <c r="N44" s="590">
        <v>0</v>
      </c>
      <c r="O44" s="590">
        <v>0</v>
      </c>
      <c r="P44" s="590">
        <v>0</v>
      </c>
      <c r="Q44" s="590">
        <v>0</v>
      </c>
      <c r="R44" s="591" t="inlineStr">
        <is>
          <t xml:space="preserve"/>
        </is>
      </c>
      <c r="T44">
        <v>1</v>
      </c>
    </row>
    <row r="45">
      <c r="B45" s="589" t="inlineStr">
        <is>
          <t xml:space="preserve">   C1-4  소방서 신고·소방차 진입 안내</t>
        </is>
      </c>
      <c r="C45" s="590">
        <v>17686.9565</v>
      </c>
      <c r="D45" s="598">
        <f>SUM(E45:J45)</f>
        <v>1.5333</v>
      </c>
      <c r="E45" s="598">
        <v>1.5333</v>
      </c>
      <c r="F45" s="598">
        <v>0</v>
      </c>
      <c r="G45" s="598">
        <v>0</v>
      </c>
      <c r="H45" s="598">
        <v>0</v>
      </c>
      <c r="I45" s="598">
        <v>0</v>
      </c>
      <c r="J45" s="598">
        <v>0</v>
      </c>
      <c r="K45" s="590">
        <f>SUM(L45:Q45)</f>
        <v>27120</v>
      </c>
      <c r="L45" s="590">
        <v>27120</v>
      </c>
      <c r="M45" s="590">
        <v>0</v>
      </c>
      <c r="N45" s="590">
        <v>0</v>
      </c>
      <c r="O45" s="590">
        <v>0</v>
      </c>
      <c r="P45" s="590">
        <v>0</v>
      </c>
      <c r="Q45" s="590">
        <v>0</v>
      </c>
      <c r="R45" s="591" t="inlineStr">
        <is>
          <t xml:space="preserve"/>
        </is>
      </c>
      <c r="T45">
        <v>1</v>
      </c>
    </row>
    <row r="46" ht="17" customHeight="1">
      <c r="B46" s="592" t="inlineStr">
        <is>
          <t xml:space="preserve">C2  응급·안전사고</t>
        </is>
      </c>
      <c r="C46" s="593">
        <v>17683.913</v>
      </c>
      <c r="D46" s="599">
        <f>SUM(E46:J46)</f>
        <v>27.6</v>
      </c>
      <c r="E46" s="599">
        <v>27.6</v>
      </c>
      <c r="F46" s="599">
        <v>0</v>
      </c>
      <c r="G46" s="599">
        <v>0</v>
      </c>
      <c r="H46" s="599">
        <v>0</v>
      </c>
      <c r="I46" s="599">
        <v>0</v>
      </c>
      <c r="J46" s="599">
        <v>0</v>
      </c>
      <c r="K46" s="593">
        <f>SUM(L46:Q46)</f>
        <v>488076</v>
      </c>
      <c r="L46" s="593">
        <v>488076</v>
      </c>
      <c r="M46" s="593">
        <v>0</v>
      </c>
      <c r="N46" s="593">
        <v>0</v>
      </c>
      <c r="O46" s="593">
        <v>0</v>
      </c>
      <c r="P46" s="593">
        <v>0</v>
      </c>
      <c r="Q46" s="593">
        <v>0</v>
      </c>
      <c r="R46" s="591" t="inlineStr">
        <is>
          <t xml:space="preserve"/>
        </is>
      </c>
      <c r="T46">
        <v>0</v>
      </c>
    </row>
    <row r="47">
      <c r="B47" s="589" t="inlineStr">
        <is>
          <t xml:space="preserve">   C2-1  응급환자 응급조치·119 신고·인계</t>
        </is>
      </c>
      <c r="C47" s="590">
        <v>17683.4783</v>
      </c>
      <c r="D47" s="598">
        <f>SUM(E47:J47)</f>
        <v>6.9</v>
      </c>
      <c r="E47" s="598">
        <v>6.9</v>
      </c>
      <c r="F47" s="598">
        <v>0</v>
      </c>
      <c r="G47" s="598">
        <v>0</v>
      </c>
      <c r="H47" s="598">
        <v>0</v>
      </c>
      <c r="I47" s="598">
        <v>0</v>
      </c>
      <c r="J47" s="598">
        <v>0</v>
      </c>
      <c r="K47" s="590">
        <f>SUM(L47:Q47)</f>
        <v>122016</v>
      </c>
      <c r="L47" s="590">
        <v>122016</v>
      </c>
      <c r="M47" s="590">
        <v>0</v>
      </c>
      <c r="N47" s="590">
        <v>0</v>
      </c>
      <c r="O47" s="590">
        <v>0</v>
      </c>
      <c r="P47" s="590">
        <v>0</v>
      </c>
      <c r="Q47" s="590">
        <v>0</v>
      </c>
      <c r="R47" s="591" t="inlineStr">
        <is>
          <t xml:space="preserve"/>
        </is>
      </c>
      <c r="T47">
        <v>1</v>
      </c>
    </row>
    <row r="48">
      <c r="B48" s="589" t="inlineStr">
        <is>
          <t xml:space="preserve">   C2-2  AED·구급함 점검</t>
        </is>
      </c>
      <c r="C48" s="590">
        <v>17683.4783</v>
      </c>
      <c r="D48" s="598">
        <f>SUM(E48:J48)</f>
        <v>6.9</v>
      </c>
      <c r="E48" s="598">
        <v>6.9</v>
      </c>
      <c r="F48" s="598">
        <v>0</v>
      </c>
      <c r="G48" s="598">
        <v>0</v>
      </c>
      <c r="H48" s="598">
        <v>0</v>
      </c>
      <c r="I48" s="598">
        <v>0</v>
      </c>
      <c r="J48" s="598">
        <v>0</v>
      </c>
      <c r="K48" s="590">
        <f>SUM(L48:Q48)</f>
        <v>122016</v>
      </c>
      <c r="L48" s="590">
        <v>122016</v>
      </c>
      <c r="M48" s="590">
        <v>0</v>
      </c>
      <c r="N48" s="590">
        <v>0</v>
      </c>
      <c r="O48" s="590">
        <v>0</v>
      </c>
      <c r="P48" s="590">
        <v>0</v>
      </c>
      <c r="Q48" s="590">
        <v>0</v>
      </c>
      <c r="R48" s="591" t="inlineStr">
        <is>
          <t xml:space="preserve"/>
        </is>
      </c>
      <c r="T48">
        <v>1</v>
      </c>
    </row>
    <row r="49">
      <c r="B49" s="589" t="inlineStr">
        <is>
          <t xml:space="preserve">   C2-3  산업재해 발생 시 현장 통제·보고</t>
        </is>
      </c>
      <c r="C49" s="590">
        <v>17686.9565</v>
      </c>
      <c r="D49" s="598">
        <f>SUM(E49:J49)</f>
        <v>2.3</v>
      </c>
      <c r="E49" s="598">
        <v>2.3</v>
      </c>
      <c r="F49" s="598">
        <v>0</v>
      </c>
      <c r="G49" s="598">
        <v>0</v>
      </c>
      <c r="H49" s="598">
        <v>0</v>
      </c>
      <c r="I49" s="598">
        <v>0</v>
      </c>
      <c r="J49" s="598">
        <v>0</v>
      </c>
      <c r="K49" s="590">
        <f>SUM(L49:Q49)</f>
        <v>40680</v>
      </c>
      <c r="L49" s="590">
        <v>40680</v>
      </c>
      <c r="M49" s="590">
        <v>0</v>
      </c>
      <c r="N49" s="590">
        <v>0</v>
      </c>
      <c r="O49" s="590">
        <v>0</v>
      </c>
      <c r="P49" s="590">
        <v>0</v>
      </c>
      <c r="Q49" s="590">
        <v>0</v>
      </c>
      <c r="R49" s="591" t="inlineStr">
        <is>
          <t xml:space="preserve"/>
        </is>
      </c>
      <c r="T49">
        <v>1</v>
      </c>
    </row>
    <row r="50">
      <c r="B50" s="589" t="inlineStr">
        <is>
          <t xml:space="preserve">   C2-4  승강기 갇힘 사고 대응·구조 연계</t>
        </is>
      </c>
      <c r="C50" s="590">
        <v>17683.4783</v>
      </c>
      <c r="D50" s="598">
        <f>SUM(E50:J50)</f>
        <v>6.9</v>
      </c>
      <c r="E50" s="598">
        <v>6.9</v>
      </c>
      <c r="F50" s="598">
        <v>0</v>
      </c>
      <c r="G50" s="598">
        <v>0</v>
      </c>
      <c r="H50" s="598">
        <v>0</v>
      </c>
      <c r="I50" s="598">
        <v>0</v>
      </c>
      <c r="J50" s="598">
        <v>0</v>
      </c>
      <c r="K50" s="590">
        <f>SUM(L50:Q50)</f>
        <v>122016</v>
      </c>
      <c r="L50" s="590">
        <v>122016</v>
      </c>
      <c r="M50" s="590">
        <v>0</v>
      </c>
      <c r="N50" s="590">
        <v>0</v>
      </c>
      <c r="O50" s="590">
        <v>0</v>
      </c>
      <c r="P50" s="590">
        <v>0</v>
      </c>
      <c r="Q50" s="590">
        <v>0</v>
      </c>
      <c r="R50" s="591" t="inlineStr">
        <is>
          <t xml:space="preserve"/>
        </is>
      </c>
      <c r="T50">
        <v>1</v>
      </c>
    </row>
    <row r="51">
      <c r="B51" s="589" t="inlineStr">
        <is>
          <t xml:space="preserve">   C2-5  넘어짐·추락 사고 현장 조치</t>
        </is>
      </c>
      <c r="C51" s="590">
        <v>17684.3478</v>
      </c>
      <c r="D51" s="598">
        <f>SUM(E51:J51)</f>
        <v>4.6</v>
      </c>
      <c r="E51" s="598">
        <v>4.6</v>
      </c>
      <c r="F51" s="598">
        <v>0</v>
      </c>
      <c r="G51" s="598">
        <v>0</v>
      </c>
      <c r="H51" s="598">
        <v>0</v>
      </c>
      <c r="I51" s="598">
        <v>0</v>
      </c>
      <c r="J51" s="598">
        <v>0</v>
      </c>
      <c r="K51" s="590">
        <f>SUM(L51:Q51)</f>
        <v>81348</v>
      </c>
      <c r="L51" s="590">
        <v>81348</v>
      </c>
      <c r="M51" s="590">
        <v>0</v>
      </c>
      <c r="N51" s="590">
        <v>0</v>
      </c>
      <c r="O51" s="590">
        <v>0</v>
      </c>
      <c r="P51" s="590">
        <v>0</v>
      </c>
      <c r="Q51" s="590">
        <v>0</v>
      </c>
      <c r="R51" s="591" t="inlineStr">
        <is>
          <t xml:space="preserve"/>
        </is>
      </c>
      <c r="T51">
        <v>1</v>
      </c>
    </row>
    <row r="52" ht="17" customHeight="1">
      <c r="B52" s="592" t="inlineStr">
        <is>
          <t xml:space="preserve">C3  침입·도난·범죄</t>
        </is>
      </c>
      <c r="C52" s="593">
        <v>17684.2733</v>
      </c>
      <c r="D52" s="599">
        <f>SUM(E52:J52)</f>
        <v>80.5</v>
      </c>
      <c r="E52" s="599">
        <v>80.5</v>
      </c>
      <c r="F52" s="599">
        <v>0</v>
      </c>
      <c r="G52" s="599">
        <v>0</v>
      </c>
      <c r="H52" s="599">
        <v>0</v>
      </c>
      <c r="I52" s="599">
        <v>0</v>
      </c>
      <c r="J52" s="599">
        <v>0</v>
      </c>
      <c r="K52" s="593">
        <f>SUM(L52:Q52)</f>
        <v>1423584</v>
      </c>
      <c r="L52" s="593">
        <v>1423584</v>
      </c>
      <c r="M52" s="593">
        <v>0</v>
      </c>
      <c r="N52" s="593">
        <v>0</v>
      </c>
      <c r="O52" s="593">
        <v>0</v>
      </c>
      <c r="P52" s="593">
        <v>0</v>
      </c>
      <c r="Q52" s="593">
        <v>0</v>
      </c>
      <c r="R52" s="591" t="inlineStr">
        <is>
          <t xml:space="preserve"/>
        </is>
      </c>
      <c r="T52">
        <v>0</v>
      </c>
    </row>
    <row r="53">
      <c r="B53" s="589" t="inlineStr">
        <is>
          <t xml:space="preserve">   C3-1  무단침입 발생 시 대응·경찰 신고</t>
        </is>
      </c>
      <c r="C53" s="590">
        <v>17684.3478</v>
      </c>
      <c r="D53" s="598">
        <f>SUM(E53:J53)</f>
        <v>18.4</v>
      </c>
      <c r="E53" s="598">
        <v>18.4</v>
      </c>
      <c r="F53" s="598">
        <v>0</v>
      </c>
      <c r="G53" s="598">
        <v>0</v>
      </c>
      <c r="H53" s="598">
        <v>0</v>
      </c>
      <c r="I53" s="598">
        <v>0</v>
      </c>
      <c r="J53" s="598">
        <v>0</v>
      </c>
      <c r="K53" s="590">
        <f>SUM(L53:Q53)</f>
        <v>325392</v>
      </c>
      <c r="L53" s="590">
        <v>325392</v>
      </c>
      <c r="M53" s="590">
        <v>0</v>
      </c>
      <c r="N53" s="590">
        <v>0</v>
      </c>
      <c r="O53" s="590">
        <v>0</v>
      </c>
      <c r="P53" s="590">
        <v>0</v>
      </c>
      <c r="Q53" s="590">
        <v>0</v>
      </c>
      <c r="R53" s="591" t="inlineStr">
        <is>
          <t xml:space="preserve"/>
        </is>
      </c>
      <c r="T53">
        <v>1</v>
      </c>
    </row>
    <row r="54">
      <c r="B54" s="589" t="inlineStr">
        <is>
          <t xml:space="preserve">   C3-2  도난·분실 신고 접수·조사 협조</t>
        </is>
      </c>
      <c r="C54" s="590">
        <v>17683.4783</v>
      </c>
      <c r="D54" s="598">
        <f>SUM(E54:J54)</f>
        <v>6.9</v>
      </c>
      <c r="E54" s="598">
        <v>6.9</v>
      </c>
      <c r="F54" s="598">
        <v>0</v>
      </c>
      <c r="G54" s="598">
        <v>0</v>
      </c>
      <c r="H54" s="598">
        <v>0</v>
      </c>
      <c r="I54" s="598">
        <v>0</v>
      </c>
      <c r="J54" s="598">
        <v>0</v>
      </c>
      <c r="K54" s="590">
        <f>SUM(L54:Q54)</f>
        <v>122016</v>
      </c>
      <c r="L54" s="590">
        <v>122016</v>
      </c>
      <c r="M54" s="590">
        <v>0</v>
      </c>
      <c r="N54" s="590">
        <v>0</v>
      </c>
      <c r="O54" s="590">
        <v>0</v>
      </c>
      <c r="P54" s="590">
        <v>0</v>
      </c>
      <c r="Q54" s="590">
        <v>0</v>
      </c>
      <c r="R54" s="591" t="inlineStr">
        <is>
          <t xml:space="preserve"/>
        </is>
      </c>
      <c r="T54">
        <v>1</v>
      </c>
    </row>
    <row r="55">
      <c r="B55" s="589" t="inlineStr">
        <is>
          <t xml:space="preserve">   C3-3  CCTV 영상 확인·증거 보존 지원</t>
        </is>
      </c>
      <c r="C55" s="590">
        <v>17684.3478</v>
      </c>
      <c r="D55" s="598">
        <f>SUM(E55:J55)</f>
        <v>27.6</v>
      </c>
      <c r="E55" s="598">
        <v>27.6</v>
      </c>
      <c r="F55" s="598">
        <v>0</v>
      </c>
      <c r="G55" s="598">
        <v>0</v>
      </c>
      <c r="H55" s="598">
        <v>0</v>
      </c>
      <c r="I55" s="598">
        <v>0</v>
      </c>
      <c r="J55" s="598">
        <v>0</v>
      </c>
      <c r="K55" s="590">
        <f>SUM(L55:Q55)</f>
        <v>488088</v>
      </c>
      <c r="L55" s="590">
        <v>488088</v>
      </c>
      <c r="M55" s="590">
        <v>0</v>
      </c>
      <c r="N55" s="590">
        <v>0</v>
      </c>
      <c r="O55" s="590">
        <v>0</v>
      </c>
      <c r="P55" s="590">
        <v>0</v>
      </c>
      <c r="Q55" s="590">
        <v>0</v>
      </c>
      <c r="R55" s="591" t="inlineStr">
        <is>
          <t xml:space="preserve"/>
        </is>
      </c>
      <c r="T55">
        <v>1</v>
      </c>
    </row>
    <row r="56">
      <c r="B56" s="589" t="inlineStr">
        <is>
          <t xml:space="preserve">   C3-4  수상한 물건·거동 수상자 확인</t>
        </is>
      </c>
      <c r="C56" s="590">
        <v>17684.3478</v>
      </c>
      <c r="D56" s="598">
        <f>SUM(E56:J56)</f>
        <v>27.6</v>
      </c>
      <c r="E56" s="598">
        <v>27.6</v>
      </c>
      <c r="F56" s="598">
        <v>0</v>
      </c>
      <c r="G56" s="598">
        <v>0</v>
      </c>
      <c r="H56" s="598">
        <v>0</v>
      </c>
      <c r="I56" s="598">
        <v>0</v>
      </c>
      <c r="J56" s="598">
        <v>0</v>
      </c>
      <c r="K56" s="590">
        <f>SUM(L56:Q56)</f>
        <v>488088</v>
      </c>
      <c r="L56" s="590">
        <v>488088</v>
      </c>
      <c r="M56" s="590">
        <v>0</v>
      </c>
      <c r="N56" s="590">
        <v>0</v>
      </c>
      <c r="O56" s="590">
        <v>0</v>
      </c>
      <c r="P56" s="590">
        <v>0</v>
      </c>
      <c r="Q56" s="590">
        <v>0</v>
      </c>
      <c r="R56" s="591" t="inlineStr">
        <is>
          <t xml:space="preserve"/>
        </is>
      </c>
      <c r="T56">
        <v>1</v>
      </c>
    </row>
    <row r="57" ht="17" customHeight="1">
      <c r="B57" s="592" t="inlineStr">
        <is>
          <t xml:space="preserve">C4  소란·민원·폭력</t>
        </is>
      </c>
      <c r="C57" s="593">
        <v>17684.1116</v>
      </c>
      <c r="D57" s="599">
        <f>SUM(E57:J57)</f>
        <v>223.56</v>
      </c>
      <c r="E57" s="599">
        <v>155.1725</v>
      </c>
      <c r="F57" s="599">
        <v>0</v>
      </c>
      <c r="G57" s="599">
        <v>59.7672</v>
      </c>
      <c r="H57" s="599">
        <v>0</v>
      </c>
      <c r="I57" s="599">
        <v>8.6203</v>
      </c>
      <c r="J57" s="599">
        <v>0</v>
      </c>
      <c r="K57" s="593">
        <f>SUM(L57:Q57)</f>
        <v>3953460</v>
      </c>
      <c r="L57" s="593">
        <v>2744085</v>
      </c>
      <c r="M57" s="593">
        <v>0</v>
      </c>
      <c r="N57" s="593">
        <v>1056933</v>
      </c>
      <c r="O57" s="593">
        <v>0</v>
      </c>
      <c r="P57" s="593">
        <v>152442</v>
      </c>
      <c r="Q57" s="593">
        <v>0</v>
      </c>
      <c r="R57" s="591" t="inlineStr">
        <is>
          <t xml:space="preserve"/>
        </is>
      </c>
      <c r="T57">
        <v>0</v>
      </c>
    </row>
    <row r="58">
      <c r="B58" s="589" t="inlineStr">
        <is>
          <t xml:space="preserve">   C4-1  소란·난동 발생 시 제지·분리</t>
        </is>
      </c>
      <c r="C58" s="590">
        <v>17683.4783</v>
      </c>
      <c r="D58" s="598">
        <f>SUM(E58:J58)</f>
        <v>6.9</v>
      </c>
      <c r="E58" s="598">
        <v>6.9</v>
      </c>
      <c r="F58" s="598">
        <v>0</v>
      </c>
      <c r="G58" s="598">
        <v>0</v>
      </c>
      <c r="H58" s="598">
        <v>0</v>
      </c>
      <c r="I58" s="598">
        <v>0</v>
      </c>
      <c r="J58" s="598">
        <v>0</v>
      </c>
      <c r="K58" s="590">
        <f>SUM(L58:Q58)</f>
        <v>122016</v>
      </c>
      <c r="L58" s="590">
        <v>122016</v>
      </c>
      <c r="M58" s="590">
        <v>0</v>
      </c>
      <c r="N58" s="590">
        <v>0</v>
      </c>
      <c r="O58" s="590">
        <v>0</v>
      </c>
      <c r="P58" s="590">
        <v>0</v>
      </c>
      <c r="Q58" s="590">
        <v>0</v>
      </c>
      <c r="R58" s="591" t="inlineStr">
        <is>
          <t xml:space="preserve"/>
        </is>
      </c>
      <c r="T58">
        <v>1</v>
      </c>
    </row>
    <row r="59">
      <c r="B59" s="589" t="inlineStr">
        <is>
          <t xml:space="preserve">   C4-2  주취자·노숙인 대응</t>
        </is>
      </c>
      <c r="C59" s="590">
        <v>17684.3478</v>
      </c>
      <c r="D59" s="598">
        <f>SUM(E59:J59)</f>
        <v>4.6</v>
      </c>
      <c r="E59" s="598">
        <v>4.6</v>
      </c>
      <c r="F59" s="598">
        <v>0</v>
      </c>
      <c r="G59" s="598">
        <v>0</v>
      </c>
      <c r="H59" s="598">
        <v>0</v>
      </c>
      <c r="I59" s="598">
        <v>0</v>
      </c>
      <c r="J59" s="598">
        <v>0</v>
      </c>
      <c r="K59" s="590">
        <f>SUM(L59:Q59)</f>
        <v>81348</v>
      </c>
      <c r="L59" s="590">
        <v>81348</v>
      </c>
      <c r="M59" s="590">
        <v>0</v>
      </c>
      <c r="N59" s="590">
        <v>0</v>
      </c>
      <c r="O59" s="590">
        <v>0</v>
      </c>
      <c r="P59" s="590">
        <v>0</v>
      </c>
      <c r="Q59" s="590">
        <v>0</v>
      </c>
      <c r="R59" s="591" t="inlineStr">
        <is>
          <t xml:space="preserve"/>
        </is>
      </c>
      <c r="T59">
        <v>1</v>
      </c>
    </row>
    <row r="60">
      <c r="B60" s="589" t="inlineStr">
        <is>
          <t xml:space="preserve">   C4-3  현장 민원 접수·응대</t>
        </is>
      </c>
      <c r="C60" s="590">
        <v>17684.1533</v>
      </c>
      <c r="D60" s="598">
        <f>SUM(E60:J60)</f>
        <v>209.76</v>
      </c>
      <c r="E60" s="598">
        <v>141.3725</v>
      </c>
      <c r="F60" s="598">
        <v>0</v>
      </c>
      <c r="G60" s="598">
        <v>59.7672</v>
      </c>
      <c r="H60" s="598">
        <v>0</v>
      </c>
      <c r="I60" s="598">
        <v>8.6203</v>
      </c>
      <c r="J60" s="598">
        <v>0</v>
      </c>
      <c r="K60" s="590">
        <f>SUM(L60:Q60)</f>
        <v>3709428</v>
      </c>
      <c r="L60" s="590">
        <v>2500053</v>
      </c>
      <c r="M60" s="590">
        <v>0</v>
      </c>
      <c r="N60" s="590">
        <v>1056933</v>
      </c>
      <c r="O60" s="590">
        <v>0</v>
      </c>
      <c r="P60" s="590">
        <v>152442</v>
      </c>
      <c r="Q60" s="590">
        <v>0</v>
      </c>
      <c r="R60" s="591" t="inlineStr">
        <is>
          <t xml:space="preserve"/>
        </is>
      </c>
      <c r="T60">
        <v>1</v>
      </c>
    </row>
    <row r="61">
      <c r="B61" s="589" t="inlineStr">
        <is>
          <t xml:space="preserve">   C4-4  집회·시위 발생 시 출입 통제</t>
        </is>
      </c>
      <c r="C61" s="590">
        <v>17681.7391</v>
      </c>
      <c r="D61" s="598">
        <f>SUM(E61:J61)</f>
        <v>2.3</v>
      </c>
      <c r="E61" s="598">
        <v>2.3</v>
      </c>
      <c r="F61" s="598">
        <v>0</v>
      </c>
      <c r="G61" s="598">
        <v>0</v>
      </c>
      <c r="H61" s="598">
        <v>0</v>
      </c>
      <c r="I61" s="598">
        <v>0</v>
      </c>
      <c r="J61" s="598">
        <v>0</v>
      </c>
      <c r="K61" s="590">
        <f>SUM(L61:Q61)</f>
        <v>40668</v>
      </c>
      <c r="L61" s="590">
        <v>40668</v>
      </c>
      <c r="M61" s="590">
        <v>0</v>
      </c>
      <c r="N61" s="590">
        <v>0</v>
      </c>
      <c r="O61" s="590">
        <v>0</v>
      </c>
      <c r="P61" s="590">
        <v>0</v>
      </c>
      <c r="Q61" s="590">
        <v>0</v>
      </c>
      <c r="R61" s="591" t="inlineStr">
        <is>
          <t xml:space="preserve"/>
        </is>
      </c>
      <c r="T61">
        <v>1</v>
      </c>
    </row>
    <row r="62" ht="17" customHeight="1">
      <c r="B62" s="592" t="inlineStr">
        <is>
          <t xml:space="preserve">C5  설비 이상·재난</t>
        </is>
      </c>
      <c r="C62" s="593">
        <v>17684.0134</v>
      </c>
      <c r="D62" s="599">
        <f>SUM(E62:J62)</f>
        <v>44.85</v>
      </c>
      <c r="E62" s="599">
        <v>44.85</v>
      </c>
      <c r="F62" s="599">
        <v>0</v>
      </c>
      <c r="G62" s="599">
        <v>0</v>
      </c>
      <c r="H62" s="599">
        <v>0</v>
      </c>
      <c r="I62" s="599">
        <v>0</v>
      </c>
      <c r="J62" s="599">
        <v>0</v>
      </c>
      <c r="K62" s="593">
        <f>SUM(L62:Q62)</f>
        <v>793128</v>
      </c>
      <c r="L62" s="593">
        <v>793128</v>
      </c>
      <c r="M62" s="593">
        <v>0</v>
      </c>
      <c r="N62" s="593">
        <v>0</v>
      </c>
      <c r="O62" s="593">
        <v>0</v>
      </c>
      <c r="P62" s="593">
        <v>0</v>
      </c>
      <c r="Q62" s="593">
        <v>0</v>
      </c>
      <c r="R62" s="591" t="inlineStr">
        <is>
          <t xml:space="preserve"/>
        </is>
      </c>
      <c r="T62">
        <v>0</v>
      </c>
    </row>
    <row r="63">
      <c r="B63" s="589" t="inlineStr">
        <is>
          <t xml:space="preserve">   C5-1  정전 시 비상조명 확인·설비팀 연락</t>
        </is>
      </c>
      <c r="C63" s="590">
        <v>17686.9565</v>
      </c>
      <c r="D63" s="598">
        <f>SUM(E63:J63)</f>
        <v>1.15</v>
      </c>
      <c r="E63" s="598">
        <v>1.15</v>
      </c>
      <c r="F63" s="598">
        <v>0</v>
      </c>
      <c r="G63" s="598">
        <v>0</v>
      </c>
      <c r="H63" s="598">
        <v>0</v>
      </c>
      <c r="I63" s="598">
        <v>0</v>
      </c>
      <c r="J63" s="598">
        <v>0</v>
      </c>
      <c r="K63" s="590">
        <f>SUM(L63:Q63)</f>
        <v>20340</v>
      </c>
      <c r="L63" s="590">
        <v>20340</v>
      </c>
      <c r="M63" s="590">
        <v>0</v>
      </c>
      <c r="N63" s="590">
        <v>0</v>
      </c>
      <c r="O63" s="590">
        <v>0</v>
      </c>
      <c r="P63" s="590">
        <v>0</v>
      </c>
      <c r="Q63" s="590">
        <v>0</v>
      </c>
      <c r="R63" s="591" t="inlineStr">
        <is>
          <t xml:space="preserve"/>
        </is>
      </c>
      <c r="T63">
        <v>1</v>
      </c>
    </row>
    <row r="64">
      <c r="B64" s="589" t="inlineStr">
        <is>
          <t xml:space="preserve">   C5-2  누수·배관 파열 초동 조치</t>
        </is>
      </c>
      <c r="C64" s="590">
        <v>17684.058</v>
      </c>
      <c r="D64" s="598">
        <f>SUM(E64:J64)</f>
        <v>20.7</v>
      </c>
      <c r="E64" s="598">
        <v>20.7</v>
      </c>
      <c r="F64" s="598">
        <v>0</v>
      </c>
      <c r="G64" s="598">
        <v>0</v>
      </c>
      <c r="H64" s="598">
        <v>0</v>
      </c>
      <c r="I64" s="598">
        <v>0</v>
      </c>
      <c r="J64" s="598">
        <v>0</v>
      </c>
      <c r="K64" s="590">
        <f>SUM(L64:Q64)</f>
        <v>366060</v>
      </c>
      <c r="L64" s="590">
        <v>366060</v>
      </c>
      <c r="M64" s="590">
        <v>0</v>
      </c>
      <c r="N64" s="590">
        <v>0</v>
      </c>
      <c r="O64" s="590">
        <v>0</v>
      </c>
      <c r="P64" s="590">
        <v>0</v>
      </c>
      <c r="Q64" s="590">
        <v>0</v>
      </c>
      <c r="R64" s="591" t="inlineStr">
        <is>
          <t xml:space="preserve"/>
        </is>
      </c>
      <c r="T64">
        <v>1</v>
      </c>
    </row>
    <row r="65">
      <c r="B65" s="589" t="inlineStr">
        <is>
          <t xml:space="preserve">   C5-3  가스·화학물질 누출 초동 조치</t>
        </is>
      </c>
      <c r="C65" s="590">
        <v>17681.7391</v>
      </c>
      <c r="D65" s="598">
        <f>SUM(E65:J65)</f>
        <v>2.3</v>
      </c>
      <c r="E65" s="598">
        <v>2.3</v>
      </c>
      <c r="F65" s="598">
        <v>0</v>
      </c>
      <c r="G65" s="598">
        <v>0</v>
      </c>
      <c r="H65" s="598">
        <v>0</v>
      </c>
      <c r="I65" s="598">
        <v>0</v>
      </c>
      <c r="J65" s="598">
        <v>0</v>
      </c>
      <c r="K65" s="590">
        <f>SUM(L65:Q65)</f>
        <v>40668</v>
      </c>
      <c r="L65" s="590">
        <v>40668</v>
      </c>
      <c r="M65" s="590">
        <v>0</v>
      </c>
      <c r="N65" s="590">
        <v>0</v>
      </c>
      <c r="O65" s="590">
        <v>0</v>
      </c>
      <c r="P65" s="590">
        <v>0</v>
      </c>
      <c r="Q65" s="590">
        <v>0</v>
      </c>
      <c r="R65" s="591" t="inlineStr">
        <is>
          <t xml:space="preserve"/>
        </is>
      </c>
      <c r="T65">
        <v>1</v>
      </c>
    </row>
    <row r="66">
      <c r="B66" s="589" t="inlineStr">
        <is>
          <t xml:space="preserve">   C5-4  태풍·폭우 대비 시설물 결박·배수구 점검</t>
        </is>
      </c>
      <c r="C66" s="590">
        <v>17684.058</v>
      </c>
      <c r="D66" s="598">
        <f>SUM(E66:J66)</f>
        <v>20.7</v>
      </c>
      <c r="E66" s="598">
        <v>20.7</v>
      </c>
      <c r="F66" s="598">
        <v>0</v>
      </c>
      <c r="G66" s="598">
        <v>0</v>
      </c>
      <c r="H66" s="598">
        <v>0</v>
      </c>
      <c r="I66" s="598">
        <v>0</v>
      </c>
      <c r="J66" s="598">
        <v>0</v>
      </c>
      <c r="K66" s="590">
        <f>SUM(L66:Q66)</f>
        <v>366060</v>
      </c>
      <c r="L66" s="590">
        <v>366060</v>
      </c>
      <c r="M66" s="590">
        <v>0</v>
      </c>
      <c r="N66" s="590">
        <v>0</v>
      </c>
      <c r="O66" s="590">
        <v>0</v>
      </c>
      <c r="P66" s="590">
        <v>0</v>
      </c>
      <c r="Q66" s="590">
        <v>0</v>
      </c>
      <c r="R66" s="591" t="inlineStr">
        <is>
          <t xml:space="preserve"/>
        </is>
      </c>
      <c r="T66">
        <v>1</v>
      </c>
    </row>
    <row r="67" ht="17" customHeight="1">
      <c r="B67" s="592" t="inlineStr">
        <is>
          <t xml:space="preserve">C6  교통·주차 사고</t>
        </is>
      </c>
      <c r="C67" s="593">
        <v>17684.1615</v>
      </c>
      <c r="D67" s="599">
        <f>SUM(E67:J67)</f>
        <v>218.96</v>
      </c>
      <c r="E67" s="599">
        <v>150.5725</v>
      </c>
      <c r="F67" s="599">
        <v>0</v>
      </c>
      <c r="G67" s="599">
        <v>59.7672</v>
      </c>
      <c r="H67" s="599">
        <v>0</v>
      </c>
      <c r="I67" s="599">
        <v>8.6203</v>
      </c>
      <c r="J67" s="599">
        <v>0</v>
      </c>
      <c r="K67" s="593">
        <f>SUM(L67:Q67)</f>
        <v>3872124</v>
      </c>
      <c r="L67" s="593">
        <v>2662749</v>
      </c>
      <c r="M67" s="593">
        <v>0</v>
      </c>
      <c r="N67" s="593">
        <v>1056933</v>
      </c>
      <c r="O67" s="593">
        <v>0</v>
      </c>
      <c r="P67" s="593">
        <v>152442</v>
      </c>
      <c r="Q67" s="593">
        <v>0</v>
      </c>
      <c r="R67" s="591" t="inlineStr">
        <is>
          <t xml:space="preserve"/>
        </is>
      </c>
      <c r="T67">
        <v>0</v>
      </c>
    </row>
    <row r="68">
      <c r="B68" s="589" t="inlineStr">
        <is>
          <t xml:space="preserve">   C6-1  구내 교통사고 현장 통제·보고</t>
        </is>
      </c>
      <c r="C68" s="590">
        <v>17684.3478</v>
      </c>
      <c r="D68" s="598">
        <f>SUM(E68:J68)</f>
        <v>9.2</v>
      </c>
      <c r="E68" s="598">
        <v>9.2</v>
      </c>
      <c r="F68" s="598">
        <v>0</v>
      </c>
      <c r="G68" s="598">
        <v>0</v>
      </c>
      <c r="H68" s="598">
        <v>0</v>
      </c>
      <c r="I68" s="598">
        <v>0</v>
      </c>
      <c r="J68" s="598">
        <v>0</v>
      </c>
      <c r="K68" s="590">
        <f>SUM(L68:Q68)</f>
        <v>162696</v>
      </c>
      <c r="L68" s="590">
        <v>162696</v>
      </c>
      <c r="M68" s="590">
        <v>0</v>
      </c>
      <c r="N68" s="590">
        <v>0</v>
      </c>
      <c r="O68" s="590">
        <v>0</v>
      </c>
      <c r="P68" s="590">
        <v>0</v>
      </c>
      <c r="Q68" s="590">
        <v>0</v>
      </c>
      <c r="R68" s="591" t="inlineStr">
        <is>
          <t xml:space="preserve"/>
        </is>
      </c>
      <c r="T68">
        <v>1</v>
      </c>
    </row>
    <row r="69">
      <c r="B69" s="589" t="inlineStr">
        <is>
          <t xml:space="preserve">   C6-2  통행 방해·불법주차 차량 조치</t>
        </is>
      </c>
      <c r="C69" s="590">
        <v>17684.1533</v>
      </c>
      <c r="D69" s="598">
        <f>SUM(E69:J69)</f>
        <v>209.76</v>
      </c>
      <c r="E69" s="598">
        <v>141.3725</v>
      </c>
      <c r="F69" s="598">
        <v>0</v>
      </c>
      <c r="G69" s="598">
        <v>59.7672</v>
      </c>
      <c r="H69" s="598">
        <v>0</v>
      </c>
      <c r="I69" s="598">
        <v>8.6203</v>
      </c>
      <c r="J69" s="598">
        <v>0</v>
      </c>
      <c r="K69" s="590">
        <f>SUM(L69:Q69)</f>
        <v>3709428</v>
      </c>
      <c r="L69" s="590">
        <v>2500053</v>
      </c>
      <c r="M69" s="590">
        <v>0</v>
      </c>
      <c r="N69" s="590">
        <v>1056933</v>
      </c>
      <c r="O69" s="590">
        <v>0</v>
      </c>
      <c r="P69" s="590">
        <v>152442</v>
      </c>
      <c r="Q69" s="590">
        <v>0</v>
      </c>
      <c r="R69" s="591" t="inlineStr">
        <is>
          <t xml:space="preserve"/>
        </is>
      </c>
      <c r="T69">
        <v>1</v>
      </c>
    </row>
    <row r="70" ht="17" customHeight="1">
      <c r="B70" s="592" t="inlineStr">
        <is>
          <t xml:space="preserve">D  관제·방재</t>
        </is>
      </c>
      <c r="C70" s="593">
        <v>17684.2093</v>
      </c>
      <c r="D70" s="599">
        <f>SUM(E70:J70)</f>
        <v>1024.6171</v>
      </c>
      <c r="E70" s="599">
        <v>762.465</v>
      </c>
      <c r="F70" s="599">
        <v>0</v>
      </c>
      <c r="G70" s="599">
        <v>229.1077</v>
      </c>
      <c r="H70" s="599">
        <v>0</v>
      </c>
      <c r="I70" s="599">
        <v>33.0444</v>
      </c>
      <c r="J70" s="599">
        <v>0</v>
      </c>
      <c r="K70" s="593">
        <f>SUM(L70:Q70)</f>
        <v>18119544</v>
      </c>
      <c r="L70" s="593">
        <v>13483595</v>
      </c>
      <c r="M70" s="593">
        <v>0</v>
      </c>
      <c r="N70" s="593">
        <v>4051586</v>
      </c>
      <c r="O70" s="593">
        <v>0</v>
      </c>
      <c r="P70" s="593">
        <v>584363</v>
      </c>
      <c r="Q70" s="593">
        <v>0</v>
      </c>
      <c r="R70" s="591" t="inlineStr">
        <is>
          <t xml:space="preserve"/>
        </is>
      </c>
      <c r="T70">
        <v>0</v>
      </c>
    </row>
    <row r="71" ht="17" customHeight="1">
      <c r="B71" s="592" t="inlineStr">
        <is>
          <t xml:space="preserve">D1  CCTV 관제</t>
        </is>
      </c>
      <c r="C71" s="593">
        <v>17684.2206</v>
      </c>
      <c r="D71" s="599">
        <f>SUM(E71:J71)</f>
        <v>567.0486</v>
      </c>
      <c r="E71" s="599">
        <v>430.2736</v>
      </c>
      <c r="F71" s="599">
        <v>0</v>
      </c>
      <c r="G71" s="599">
        <v>119.5345</v>
      </c>
      <c r="H71" s="599">
        <v>0</v>
      </c>
      <c r="I71" s="599">
        <v>17.2405</v>
      </c>
      <c r="J71" s="599">
        <v>0</v>
      </c>
      <c r="K71" s="593">
        <f>SUM(L71:Q71)</f>
        <v>10027812</v>
      </c>
      <c r="L71" s="593">
        <v>7609054</v>
      </c>
      <c r="M71" s="593">
        <v>0</v>
      </c>
      <c r="N71" s="593">
        <v>2113873</v>
      </c>
      <c r="O71" s="593">
        <v>0</v>
      </c>
      <c r="P71" s="593">
        <v>304885</v>
      </c>
      <c r="Q71" s="593">
        <v>0</v>
      </c>
      <c r="R71" s="591" t="inlineStr">
        <is>
          <t xml:space="preserve"/>
        </is>
      </c>
      <c r="T71">
        <v>0</v>
      </c>
    </row>
    <row r="72">
      <c r="B72" s="589" t="inlineStr">
        <is>
          <t xml:space="preserve">   D1-1  CCTV 모니터링 (정문 초소 겸무)</t>
        </is>
      </c>
      <c r="C72" s="590">
        <v>17684.2105</v>
      </c>
      <c r="D72" s="598">
        <f>SUM(E72:J72)</f>
        <v>419.52</v>
      </c>
      <c r="E72" s="598">
        <v>282.745</v>
      </c>
      <c r="F72" s="598">
        <v>0</v>
      </c>
      <c r="G72" s="598">
        <v>119.5345</v>
      </c>
      <c r="H72" s="598">
        <v>0</v>
      </c>
      <c r="I72" s="598">
        <v>17.2405</v>
      </c>
      <c r="J72" s="598">
        <v>0</v>
      </c>
      <c r="K72" s="590">
        <f>SUM(L72:Q72)</f>
        <v>7418880</v>
      </c>
      <c r="L72" s="590">
        <v>5000122</v>
      </c>
      <c r="M72" s="590">
        <v>0</v>
      </c>
      <c r="N72" s="590">
        <v>2113873</v>
      </c>
      <c r="O72" s="590">
        <v>0</v>
      </c>
      <c r="P72" s="590">
        <v>304885</v>
      </c>
      <c r="Q72" s="590">
        <v>0</v>
      </c>
      <c r="R72" s="591" t="inlineStr">
        <is>
          <t xml:space="preserve"/>
        </is>
      </c>
      <c r="T72">
        <v>1</v>
      </c>
    </row>
    <row r="73">
      <c r="B73" s="589" t="inlineStr">
        <is>
          <t xml:space="preserve">   D1-2  CCTV 녹화 상태·카메라 점검</t>
        </is>
      </c>
      <c r="C73" s="590">
        <v>17684.2263</v>
      </c>
      <c r="D73" s="598">
        <f>SUM(E73:J73)</f>
        <v>119.9286</v>
      </c>
      <c r="E73" s="598">
        <v>119.9286</v>
      </c>
      <c r="F73" s="598">
        <v>0</v>
      </c>
      <c r="G73" s="598">
        <v>0</v>
      </c>
      <c r="H73" s="598">
        <v>0</v>
      </c>
      <c r="I73" s="598">
        <v>0</v>
      </c>
      <c r="J73" s="598">
        <v>0</v>
      </c>
      <c r="K73" s="590">
        <f>SUM(L73:Q73)</f>
        <v>2120844</v>
      </c>
      <c r="L73" s="590">
        <v>2120844</v>
      </c>
      <c r="M73" s="590">
        <v>0</v>
      </c>
      <c r="N73" s="590">
        <v>0</v>
      </c>
      <c r="O73" s="590">
        <v>0</v>
      </c>
      <c r="P73" s="590">
        <v>0</v>
      </c>
      <c r="Q73" s="590">
        <v>0</v>
      </c>
      <c r="R73" s="591" t="inlineStr">
        <is>
          <t xml:space="preserve"/>
        </is>
      </c>
      <c r="T73">
        <v>1</v>
      </c>
    </row>
    <row r="74">
      <c r="B74" s="589" t="inlineStr">
        <is>
          <t xml:space="preserve">   D1-3  영상 열람·반출 요청 처리</t>
        </is>
      </c>
      <c r="C74" s="590">
        <v>17684.3478</v>
      </c>
      <c r="D74" s="598">
        <f>SUM(E74:J74)</f>
        <v>27.6</v>
      </c>
      <c r="E74" s="598">
        <v>27.6</v>
      </c>
      <c r="F74" s="598">
        <v>0</v>
      </c>
      <c r="G74" s="598">
        <v>0</v>
      </c>
      <c r="H74" s="598">
        <v>0</v>
      </c>
      <c r="I74" s="598">
        <v>0</v>
      </c>
      <c r="J74" s="598">
        <v>0</v>
      </c>
      <c r="K74" s="590">
        <f>SUM(L74:Q74)</f>
        <v>488088</v>
      </c>
      <c r="L74" s="590">
        <v>488088</v>
      </c>
      <c r="M74" s="590">
        <v>0</v>
      </c>
      <c r="N74" s="590">
        <v>0</v>
      </c>
      <c r="O74" s="590">
        <v>0</v>
      </c>
      <c r="P74" s="590">
        <v>0</v>
      </c>
      <c r="Q74" s="590">
        <v>0</v>
      </c>
      <c r="R74" s="591" t="inlineStr">
        <is>
          <t xml:space="preserve"/>
        </is>
      </c>
      <c r="T74">
        <v>1</v>
      </c>
    </row>
    <row r="75" ht="17" customHeight="1">
      <c r="B75" s="592" t="inlineStr">
        <is>
          <t xml:space="preserve">D2  방재·설비 감시</t>
        </is>
      </c>
      <c r="C75" s="593">
        <v>17684.1793</v>
      </c>
      <c r="D75" s="599">
        <f>SUM(E75:J75)</f>
        <v>384.56</v>
      </c>
      <c r="E75" s="599">
        <v>259.1829</v>
      </c>
      <c r="F75" s="599">
        <v>0</v>
      </c>
      <c r="G75" s="599">
        <v>109.5733</v>
      </c>
      <c r="H75" s="599">
        <v>0</v>
      </c>
      <c r="I75" s="599">
        <v>15.8038</v>
      </c>
      <c r="J75" s="599">
        <v>0</v>
      </c>
      <c r="K75" s="593">
        <f>SUM(L75:Q75)</f>
        <v>6800628</v>
      </c>
      <c r="L75" s="593">
        <v>4583437</v>
      </c>
      <c r="M75" s="593">
        <v>0</v>
      </c>
      <c r="N75" s="593">
        <v>1937713</v>
      </c>
      <c r="O75" s="593">
        <v>0</v>
      </c>
      <c r="P75" s="593">
        <v>279478</v>
      </c>
      <c r="Q75" s="593">
        <v>0</v>
      </c>
      <c r="R75" s="591" t="inlineStr">
        <is>
          <t xml:space="preserve"/>
        </is>
      </c>
      <c r="T75">
        <v>0</v>
      </c>
    </row>
    <row r="76">
      <c r="B76" s="589" t="inlineStr">
        <is>
          <t xml:space="preserve">   D2-1  화재수신기·방재반 감시 기록</t>
        </is>
      </c>
      <c r="C76" s="590">
        <v>17684.1533</v>
      </c>
      <c r="D76" s="598">
        <f>SUM(E76:J76)</f>
        <v>209.76</v>
      </c>
      <c r="E76" s="598">
        <v>141.3725</v>
      </c>
      <c r="F76" s="598">
        <v>0</v>
      </c>
      <c r="G76" s="598">
        <v>59.7672</v>
      </c>
      <c r="H76" s="598">
        <v>0</v>
      </c>
      <c r="I76" s="598">
        <v>8.6203</v>
      </c>
      <c r="J76" s="598">
        <v>0</v>
      </c>
      <c r="K76" s="590">
        <f>SUM(L76:Q76)</f>
        <v>3709428</v>
      </c>
      <c r="L76" s="590">
        <v>2500053</v>
      </c>
      <c r="M76" s="590">
        <v>0</v>
      </c>
      <c r="N76" s="590">
        <v>1056933</v>
      </c>
      <c r="O76" s="590">
        <v>0</v>
      </c>
      <c r="P76" s="590">
        <v>152442</v>
      </c>
      <c r="Q76" s="590">
        <v>0</v>
      </c>
      <c r="R76" s="591" t="inlineStr">
        <is>
          <t xml:space="preserve"/>
        </is>
      </c>
      <c r="T76">
        <v>1</v>
      </c>
    </row>
    <row r="77">
      <c r="B77" s="589" t="inlineStr">
        <is>
          <t xml:space="preserve">   D2-2  무인경비·침입감지 알람 확인</t>
        </is>
      </c>
      <c r="C77" s="590">
        <v>17684.2105</v>
      </c>
      <c r="D77" s="598">
        <f>SUM(E77:J77)</f>
        <v>139.84</v>
      </c>
      <c r="E77" s="598">
        <v>94.2483</v>
      </c>
      <c r="F77" s="598">
        <v>0</v>
      </c>
      <c r="G77" s="598">
        <v>39.8448</v>
      </c>
      <c r="H77" s="598">
        <v>0</v>
      </c>
      <c r="I77" s="598">
        <v>5.7468</v>
      </c>
      <c r="J77" s="598">
        <v>0</v>
      </c>
      <c r="K77" s="590">
        <f>SUM(L77:Q77)</f>
        <v>2472960</v>
      </c>
      <c r="L77" s="590">
        <v>1666707</v>
      </c>
      <c r="M77" s="590">
        <v>0</v>
      </c>
      <c r="N77" s="590">
        <v>704624</v>
      </c>
      <c r="O77" s="590">
        <v>0</v>
      </c>
      <c r="P77" s="590">
        <v>101629</v>
      </c>
      <c r="Q77" s="590">
        <v>0</v>
      </c>
      <c r="R77" s="591" t="inlineStr">
        <is>
          <t xml:space="preserve"/>
        </is>
      </c>
      <c r="T77">
        <v>1</v>
      </c>
    </row>
    <row r="78">
      <c r="B78" s="589" t="inlineStr">
        <is>
          <t xml:space="preserve">   D2-3  비상방송·안내방송 송출</t>
        </is>
      </c>
      <c r="C78" s="590">
        <v>17684.2105</v>
      </c>
      <c r="D78" s="598">
        <f>SUM(E78:J78)</f>
        <v>34.96</v>
      </c>
      <c r="E78" s="598">
        <v>23.5621</v>
      </c>
      <c r="F78" s="598">
        <v>0</v>
      </c>
      <c r="G78" s="598">
        <v>9.9612</v>
      </c>
      <c r="H78" s="598">
        <v>0</v>
      </c>
      <c r="I78" s="598">
        <v>1.4367</v>
      </c>
      <c r="J78" s="598">
        <v>0</v>
      </c>
      <c r="K78" s="590">
        <f>SUM(L78:Q78)</f>
        <v>618240</v>
      </c>
      <c r="L78" s="590">
        <v>416677</v>
      </c>
      <c r="M78" s="590">
        <v>0</v>
      </c>
      <c r="N78" s="590">
        <v>176156</v>
      </c>
      <c r="O78" s="590">
        <v>0</v>
      </c>
      <c r="P78" s="590">
        <v>25407</v>
      </c>
      <c r="Q78" s="590">
        <v>0</v>
      </c>
      <c r="R78" s="591" t="inlineStr">
        <is>
          <t xml:space="preserve"/>
        </is>
      </c>
      <c r="T78">
        <v>1</v>
      </c>
    </row>
    <row r="79" ht="17" customHeight="1">
      <c r="B79" s="592" t="inlineStr">
        <is>
          <t xml:space="preserve">D3  소방시설 일상점검</t>
        </is>
      </c>
      <c r="C79" s="593">
        <v>17684.2797</v>
      </c>
      <c r="D79" s="599">
        <f>SUM(E79:J79)</f>
        <v>73.0086</v>
      </c>
      <c r="E79" s="599">
        <v>73.0086</v>
      </c>
      <c r="F79" s="599">
        <v>0</v>
      </c>
      <c r="G79" s="599">
        <v>0</v>
      </c>
      <c r="H79" s="599">
        <v>0</v>
      </c>
      <c r="I79" s="599">
        <v>0</v>
      </c>
      <c r="J79" s="599">
        <v>0</v>
      </c>
      <c r="K79" s="593">
        <f>SUM(L79:Q79)</f>
        <v>1291104</v>
      </c>
      <c r="L79" s="593">
        <v>1291104</v>
      </c>
      <c r="M79" s="593">
        <v>0</v>
      </c>
      <c r="N79" s="593">
        <v>0</v>
      </c>
      <c r="O79" s="593">
        <v>0</v>
      </c>
      <c r="P79" s="593">
        <v>0</v>
      </c>
      <c r="Q79" s="593">
        <v>0</v>
      </c>
      <c r="R79" s="591" t="inlineStr">
        <is>
          <t xml:space="preserve"/>
        </is>
      </c>
      <c r="T79">
        <v>0</v>
      </c>
    </row>
    <row r="80">
      <c r="B80" s="589" t="inlineStr">
        <is>
          <t xml:space="preserve">   D3-1  소화기·옥내소화전 외관 점검</t>
        </is>
      </c>
      <c r="C80" s="590">
        <v>17684.4522</v>
      </c>
      <c r="D80" s="598">
        <f>SUM(E80:J80)</f>
        <v>28.75</v>
      </c>
      <c r="E80" s="598">
        <v>28.75</v>
      </c>
      <c r="F80" s="598">
        <v>0</v>
      </c>
      <c r="G80" s="598">
        <v>0</v>
      </c>
      <c r="H80" s="598">
        <v>0</v>
      </c>
      <c r="I80" s="598">
        <v>0</v>
      </c>
      <c r="J80" s="598">
        <v>0</v>
      </c>
      <c r="K80" s="590">
        <f>SUM(L80:Q80)</f>
        <v>508428</v>
      </c>
      <c r="L80" s="590">
        <v>508428</v>
      </c>
      <c r="M80" s="590">
        <v>0</v>
      </c>
      <c r="N80" s="590">
        <v>0</v>
      </c>
      <c r="O80" s="590">
        <v>0</v>
      </c>
      <c r="P80" s="590">
        <v>0</v>
      </c>
      <c r="Q80" s="590">
        <v>0</v>
      </c>
      <c r="R80" s="591" t="inlineStr">
        <is>
          <t xml:space="preserve"/>
        </is>
      </c>
      <c r="T80">
        <v>1</v>
      </c>
    </row>
    <row r="81">
      <c r="B81" s="589" t="inlineStr">
        <is>
          <t xml:space="preserve">   D3-2  방화문·피난통로 적치물 확인</t>
        </is>
      </c>
      <c r="C81" s="590">
        <v>17684.193</v>
      </c>
      <c r="D81" s="598">
        <f>SUM(E81:J81)</f>
        <v>35.9786</v>
      </c>
      <c r="E81" s="598">
        <v>35.9786</v>
      </c>
      <c r="F81" s="598">
        <v>0</v>
      </c>
      <c r="G81" s="598">
        <v>0</v>
      </c>
      <c r="H81" s="598">
        <v>0</v>
      </c>
      <c r="I81" s="598">
        <v>0</v>
      </c>
      <c r="J81" s="598">
        <v>0</v>
      </c>
      <c r="K81" s="590">
        <f>SUM(L81:Q81)</f>
        <v>636252</v>
      </c>
      <c r="L81" s="590">
        <v>636252</v>
      </c>
      <c r="M81" s="590">
        <v>0</v>
      </c>
      <c r="N81" s="590">
        <v>0</v>
      </c>
      <c r="O81" s="590">
        <v>0</v>
      </c>
      <c r="P81" s="590">
        <v>0</v>
      </c>
      <c r="Q81" s="590">
        <v>0</v>
      </c>
      <c r="R81" s="591" t="inlineStr">
        <is>
          <t xml:space="preserve"/>
        </is>
      </c>
      <c r="T81">
        <v>1</v>
      </c>
    </row>
    <row r="82">
      <c r="B82" s="589" t="inlineStr">
        <is>
          <t xml:space="preserve">   D3-3  유도등·비상조명 점등 확인</t>
        </is>
      </c>
      <c r="C82" s="590">
        <v>17684.058</v>
      </c>
      <c r="D82" s="598">
        <f>SUM(E82:J82)</f>
        <v>8.28</v>
      </c>
      <c r="E82" s="598">
        <v>8.28</v>
      </c>
      <c r="F82" s="598">
        <v>0</v>
      </c>
      <c r="G82" s="598">
        <v>0</v>
      </c>
      <c r="H82" s="598">
        <v>0</v>
      </c>
      <c r="I82" s="598">
        <v>0</v>
      </c>
      <c r="J82" s="598">
        <v>0</v>
      </c>
      <c r="K82" s="590">
        <f>SUM(L82:Q82)</f>
        <v>146424</v>
      </c>
      <c r="L82" s="590">
        <v>146424</v>
      </c>
      <c r="M82" s="590">
        <v>0</v>
      </c>
      <c r="N82" s="590">
        <v>0</v>
      </c>
      <c r="O82" s="590">
        <v>0</v>
      </c>
      <c r="P82" s="590">
        <v>0</v>
      </c>
      <c r="Q82" s="590">
        <v>0</v>
      </c>
      <c r="R82" s="591" t="inlineStr">
        <is>
          <t xml:space="preserve"/>
        </is>
      </c>
      <c r="T82">
        <v>1</v>
      </c>
    </row>
    <row r="83" ht="17" customHeight="1">
      <c r="B83" s="592" t="inlineStr">
        <is>
          <t xml:space="preserve">E  고객사 업무 지원</t>
        </is>
      </c>
      <c r="C83" s="593">
        <v>17684.1864</v>
      </c>
      <c r="D83" s="599">
        <f>SUM(E83:J83)</f>
        <v>1423.6726</v>
      </c>
      <c r="E83" s="599">
        <v>1195.7143</v>
      </c>
      <c r="F83" s="599">
        <v>0</v>
      </c>
      <c r="G83" s="599">
        <v>199.2241</v>
      </c>
      <c r="H83" s="599">
        <v>0</v>
      </c>
      <c r="I83" s="599">
        <v>28.7342</v>
      </c>
      <c r="J83" s="599">
        <v>0</v>
      </c>
      <c r="K83" s="593">
        <f>SUM(L83:Q83)</f>
        <v>25176492</v>
      </c>
      <c r="L83" s="593">
        <v>21145233</v>
      </c>
      <c r="M83" s="593">
        <v>0</v>
      </c>
      <c r="N83" s="593">
        <v>3523117</v>
      </c>
      <c r="O83" s="593">
        <v>0</v>
      </c>
      <c r="P83" s="593">
        <v>508142</v>
      </c>
      <c r="Q83" s="593">
        <v>0</v>
      </c>
      <c r="R83" s="591" t="inlineStr">
        <is>
          <t xml:space="preserve"/>
        </is>
      </c>
      <c r="T83">
        <v>0</v>
      </c>
    </row>
    <row r="84" ht="17" customHeight="1">
      <c r="B84" s="592" t="inlineStr">
        <is>
          <t xml:space="preserve">E1  안내·의전</t>
        </is>
      </c>
      <c r="C84" s="593">
        <v>17684.0816</v>
      </c>
      <c r="D84" s="599">
        <f>SUM(E84:J84)</f>
        <v>112.7</v>
      </c>
      <c r="E84" s="599">
        <v>112.7</v>
      </c>
      <c r="F84" s="599">
        <v>0</v>
      </c>
      <c r="G84" s="599">
        <v>0</v>
      </c>
      <c r="H84" s="599">
        <v>0</v>
      </c>
      <c r="I84" s="599">
        <v>0</v>
      </c>
      <c r="J84" s="599">
        <v>0</v>
      </c>
      <c r="K84" s="593">
        <f>SUM(L84:Q84)</f>
        <v>1992996</v>
      </c>
      <c r="L84" s="593">
        <v>1992996</v>
      </c>
      <c r="M84" s="593">
        <v>0</v>
      </c>
      <c r="N84" s="593">
        <v>0</v>
      </c>
      <c r="O84" s="593">
        <v>0</v>
      </c>
      <c r="P84" s="593">
        <v>0</v>
      </c>
      <c r="Q84" s="593">
        <v>0</v>
      </c>
      <c r="R84" s="591" t="inlineStr">
        <is>
          <t xml:space="preserve"/>
        </is>
      </c>
      <c r="T84">
        <v>0</v>
      </c>
    </row>
    <row r="85">
      <c r="B85" s="589" t="inlineStr">
        <is>
          <t xml:space="preserve">   E1-1  VIP·귀빈 영접 및 차량 안내</t>
        </is>
      </c>
      <c r="C85" s="590">
        <v>17684.0217</v>
      </c>
      <c r="D85" s="598">
        <f>SUM(E85:J85)</f>
        <v>36.8</v>
      </c>
      <c r="E85" s="598">
        <v>36.8</v>
      </c>
      <c r="F85" s="598">
        <v>0</v>
      </c>
      <c r="G85" s="598">
        <v>0</v>
      </c>
      <c r="H85" s="598">
        <v>0</v>
      </c>
      <c r="I85" s="598">
        <v>0</v>
      </c>
      <c r="J85" s="598">
        <v>0</v>
      </c>
      <c r="K85" s="590">
        <f>SUM(L85:Q85)</f>
        <v>650772</v>
      </c>
      <c r="L85" s="590">
        <v>650772</v>
      </c>
      <c r="M85" s="590">
        <v>0</v>
      </c>
      <c r="N85" s="590">
        <v>0</v>
      </c>
      <c r="O85" s="590">
        <v>0</v>
      </c>
      <c r="P85" s="590">
        <v>0</v>
      </c>
      <c r="Q85" s="590">
        <v>0</v>
      </c>
      <c r="R85" s="591" t="inlineStr">
        <is>
          <t xml:space="preserve"/>
        </is>
      </c>
      <c r="T85">
        <v>1</v>
      </c>
    </row>
    <row r="86">
      <c r="B86" s="589" t="inlineStr">
        <is>
          <t xml:space="preserve">   E1-2  회의·행사장 출입 통제</t>
        </is>
      </c>
      <c r="C86" s="590">
        <v>17684.1304</v>
      </c>
      <c r="D86" s="598">
        <f>SUM(E86:J86)</f>
        <v>55.2</v>
      </c>
      <c r="E86" s="598">
        <v>55.2</v>
      </c>
      <c r="F86" s="598">
        <v>0</v>
      </c>
      <c r="G86" s="598">
        <v>0</v>
      </c>
      <c r="H86" s="598">
        <v>0</v>
      </c>
      <c r="I86" s="598">
        <v>0</v>
      </c>
      <c r="J86" s="598">
        <v>0</v>
      </c>
      <c r="K86" s="590">
        <f>SUM(L86:Q86)</f>
        <v>976164</v>
      </c>
      <c r="L86" s="590">
        <v>976164</v>
      </c>
      <c r="M86" s="590">
        <v>0</v>
      </c>
      <c r="N86" s="590">
        <v>0</v>
      </c>
      <c r="O86" s="590">
        <v>0</v>
      </c>
      <c r="P86" s="590">
        <v>0</v>
      </c>
      <c r="Q86" s="590">
        <v>0</v>
      </c>
      <c r="R86" s="591" t="inlineStr">
        <is>
          <t xml:space="preserve"/>
        </is>
      </c>
      <c r="T86">
        <v>1</v>
      </c>
    </row>
    <row r="87">
      <c r="B87" s="589" t="inlineStr">
        <is>
          <t xml:space="preserve">   E1-3  행사 주차 안내·교통 정리</t>
        </is>
      </c>
      <c r="C87" s="590">
        <v>17684.058</v>
      </c>
      <c r="D87" s="598">
        <f>SUM(E87:J87)</f>
        <v>20.7</v>
      </c>
      <c r="E87" s="598">
        <v>20.7</v>
      </c>
      <c r="F87" s="598">
        <v>0</v>
      </c>
      <c r="G87" s="598">
        <v>0</v>
      </c>
      <c r="H87" s="598">
        <v>0</v>
      </c>
      <c r="I87" s="598">
        <v>0</v>
      </c>
      <c r="J87" s="598">
        <v>0</v>
      </c>
      <c r="K87" s="590">
        <f>SUM(L87:Q87)</f>
        <v>366060</v>
      </c>
      <c r="L87" s="590">
        <v>366060</v>
      </c>
      <c r="M87" s="590">
        <v>0</v>
      </c>
      <c r="N87" s="590">
        <v>0</v>
      </c>
      <c r="O87" s="590">
        <v>0</v>
      </c>
      <c r="P87" s="590">
        <v>0</v>
      </c>
      <c r="Q87" s="590">
        <v>0</v>
      </c>
      <c r="R87" s="591" t="inlineStr">
        <is>
          <t xml:space="preserve"/>
        </is>
      </c>
      <c r="T87">
        <v>1</v>
      </c>
    </row>
    <row r="88" ht="17" customHeight="1">
      <c r="B88" s="592" t="inlineStr">
        <is>
          <t xml:space="preserve">E2  행정 지원</t>
        </is>
      </c>
      <c r="C88" s="593">
        <v>17684.1838</v>
      </c>
      <c r="D88" s="599">
        <f>SUM(E88:J88)</f>
        <v>614.56</v>
      </c>
      <c r="E88" s="599">
        <v>432.1933</v>
      </c>
      <c r="F88" s="599">
        <v>0</v>
      </c>
      <c r="G88" s="599">
        <v>159.3793</v>
      </c>
      <c r="H88" s="599">
        <v>0</v>
      </c>
      <c r="I88" s="599">
        <v>22.9874</v>
      </c>
      <c r="J88" s="599">
        <v>0</v>
      </c>
      <c r="K88" s="593">
        <f>SUM(L88:Q88)</f>
        <v>10867992</v>
      </c>
      <c r="L88" s="593">
        <v>7642986</v>
      </c>
      <c r="M88" s="593">
        <v>0</v>
      </c>
      <c r="N88" s="593">
        <v>2818493</v>
      </c>
      <c r="O88" s="593">
        <v>0</v>
      </c>
      <c r="P88" s="593">
        <v>406513</v>
      </c>
      <c r="Q88" s="593">
        <v>0</v>
      </c>
      <c r="R88" s="591" t="inlineStr">
        <is>
          <t xml:space="preserve"/>
        </is>
      </c>
      <c r="T88">
        <v>0</v>
      </c>
    </row>
    <row r="89">
      <c r="B89" s="589" t="inlineStr">
        <is>
          <t xml:space="preserve">   E2-1  열쇠·출입카드 보관·대여 관리</t>
        </is>
      </c>
      <c r="C89" s="590">
        <v>17684.2105</v>
      </c>
      <c r="D89" s="598">
        <f>SUM(E89:J89)</f>
        <v>279.68</v>
      </c>
      <c r="E89" s="598">
        <v>188.4967</v>
      </c>
      <c r="F89" s="598">
        <v>0</v>
      </c>
      <c r="G89" s="598">
        <v>79.6896</v>
      </c>
      <c r="H89" s="598">
        <v>0</v>
      </c>
      <c r="I89" s="598">
        <v>11.4937</v>
      </c>
      <c r="J89" s="598">
        <v>0</v>
      </c>
      <c r="K89" s="590">
        <f>SUM(L89:Q89)</f>
        <v>4945920</v>
      </c>
      <c r="L89" s="590">
        <v>3333415</v>
      </c>
      <c r="M89" s="590">
        <v>0</v>
      </c>
      <c r="N89" s="590">
        <v>1409248</v>
      </c>
      <c r="O89" s="590">
        <v>0</v>
      </c>
      <c r="P89" s="590">
        <v>203257</v>
      </c>
      <c r="Q89" s="590">
        <v>0</v>
      </c>
      <c r="R89" s="591" t="inlineStr">
        <is>
          <t xml:space="preserve"/>
        </is>
      </c>
      <c r="T89">
        <v>1</v>
      </c>
    </row>
    <row r="90">
      <c r="B90" s="589" t="inlineStr">
        <is>
          <t xml:space="preserve">   E2-2  분실물·습득물 접수·보관·반환</t>
        </is>
      </c>
      <c r="C90" s="590">
        <v>17684.2105</v>
      </c>
      <c r="D90" s="598">
        <f>SUM(E90:J90)</f>
        <v>69.92</v>
      </c>
      <c r="E90" s="598">
        <v>47.1242</v>
      </c>
      <c r="F90" s="598">
        <v>0</v>
      </c>
      <c r="G90" s="598">
        <v>19.9224</v>
      </c>
      <c r="H90" s="598">
        <v>0</v>
      </c>
      <c r="I90" s="598">
        <v>2.8734</v>
      </c>
      <c r="J90" s="598">
        <v>0</v>
      </c>
      <c r="K90" s="590">
        <f>SUM(L90:Q90)</f>
        <v>1236480</v>
      </c>
      <c r="L90" s="590">
        <v>833354</v>
      </c>
      <c r="M90" s="590">
        <v>0</v>
      </c>
      <c r="N90" s="590">
        <v>352312</v>
      </c>
      <c r="O90" s="590">
        <v>0</v>
      </c>
      <c r="P90" s="590">
        <v>50814</v>
      </c>
      <c r="Q90" s="590">
        <v>0</v>
      </c>
      <c r="R90" s="591" t="inlineStr">
        <is>
          <t xml:space="preserve"/>
        </is>
      </c>
      <c r="T90">
        <v>1</v>
      </c>
    </row>
    <row r="91">
      <c r="B91" s="589" t="inlineStr">
        <is>
          <t xml:space="preserve">   E2-3  공지문·게시물 부착·회수</t>
        </is>
      </c>
      <c r="C91" s="590">
        <v>17684.1304</v>
      </c>
      <c r="D91" s="598">
        <f>SUM(E91:J91)</f>
        <v>55.2</v>
      </c>
      <c r="E91" s="598">
        <v>55.2</v>
      </c>
      <c r="F91" s="598">
        <v>0</v>
      </c>
      <c r="G91" s="598">
        <v>0</v>
      </c>
      <c r="H91" s="598">
        <v>0</v>
      </c>
      <c r="I91" s="598">
        <v>0</v>
      </c>
      <c r="J91" s="598">
        <v>0</v>
      </c>
      <c r="K91" s="590">
        <f>SUM(L91:Q91)</f>
        <v>976164</v>
      </c>
      <c r="L91" s="590">
        <v>976164</v>
      </c>
      <c r="M91" s="590">
        <v>0</v>
      </c>
      <c r="N91" s="590">
        <v>0</v>
      </c>
      <c r="O91" s="590">
        <v>0</v>
      </c>
      <c r="P91" s="590">
        <v>0</v>
      </c>
      <c r="Q91" s="590">
        <v>0</v>
      </c>
      <c r="R91" s="591" t="inlineStr">
        <is>
          <t xml:space="preserve"/>
        </is>
      </c>
      <c r="T91">
        <v>1</v>
      </c>
    </row>
    <row r="92">
      <c r="B92" s="589" t="inlineStr">
        <is>
          <t xml:space="preserve">   E2-4  고객사 요청 문서·물품 전달</t>
        </is>
      </c>
      <c r="C92" s="590">
        <v>17684.1533</v>
      </c>
      <c r="D92" s="598">
        <f>SUM(E92:J92)</f>
        <v>209.76</v>
      </c>
      <c r="E92" s="598">
        <v>141.3725</v>
      </c>
      <c r="F92" s="598">
        <v>0</v>
      </c>
      <c r="G92" s="598">
        <v>59.7672</v>
      </c>
      <c r="H92" s="598">
        <v>0</v>
      </c>
      <c r="I92" s="598">
        <v>8.6203</v>
      </c>
      <c r="J92" s="598">
        <v>0</v>
      </c>
      <c r="K92" s="590">
        <f>SUM(L92:Q92)</f>
        <v>3709428</v>
      </c>
      <c r="L92" s="590">
        <v>2500053</v>
      </c>
      <c r="M92" s="590">
        <v>0</v>
      </c>
      <c r="N92" s="590">
        <v>1056933</v>
      </c>
      <c r="O92" s="590">
        <v>0</v>
      </c>
      <c r="P92" s="590">
        <v>152442</v>
      </c>
      <c r="Q92" s="590">
        <v>0</v>
      </c>
      <c r="R92" s="591" t="inlineStr">
        <is>
          <t xml:space="preserve"/>
        </is>
      </c>
      <c r="T92">
        <v>1</v>
      </c>
    </row>
    <row r="93" ht="17" customHeight="1">
      <c r="B93" s="592" t="inlineStr">
        <is>
          <t xml:space="preserve">E3  시설·환경 지원</t>
        </is>
      </c>
      <c r="C93" s="593">
        <v>17684.1761</v>
      </c>
      <c r="D93" s="599">
        <f>SUM(E93:J93)</f>
        <v>146.74</v>
      </c>
      <c r="E93" s="599">
        <v>101.1483</v>
      </c>
      <c r="F93" s="599">
        <v>0</v>
      </c>
      <c r="G93" s="599">
        <v>39.8448</v>
      </c>
      <c r="H93" s="599">
        <v>0</v>
      </c>
      <c r="I93" s="599">
        <v>5.7468</v>
      </c>
      <c r="J93" s="599">
        <v>0</v>
      </c>
      <c r="K93" s="593">
        <f>SUM(L93:Q93)</f>
        <v>2594976</v>
      </c>
      <c r="L93" s="593">
        <v>1788723</v>
      </c>
      <c r="M93" s="593">
        <v>0</v>
      </c>
      <c r="N93" s="593">
        <v>704624</v>
      </c>
      <c r="O93" s="593">
        <v>0</v>
      </c>
      <c r="P93" s="593">
        <v>101629</v>
      </c>
      <c r="Q93" s="593">
        <v>0</v>
      </c>
      <c r="R93" s="591" t="inlineStr">
        <is>
          <t xml:space="preserve"/>
        </is>
      </c>
      <c r="T93">
        <v>0</v>
      </c>
    </row>
    <row r="94">
      <c r="B94" s="589" t="inlineStr">
        <is>
          <t xml:space="preserve">   E3-1  제설·염화칼슘 살포 지원</t>
        </is>
      </c>
      <c r="C94" s="590">
        <v>17683.4783</v>
      </c>
      <c r="D94" s="598">
        <f>SUM(E94:J94)</f>
        <v>6.9</v>
      </c>
      <c r="E94" s="598">
        <v>6.9</v>
      </c>
      <c r="F94" s="598">
        <v>0</v>
      </c>
      <c r="G94" s="598">
        <v>0</v>
      </c>
      <c r="H94" s="598">
        <v>0</v>
      </c>
      <c r="I94" s="598">
        <v>0</v>
      </c>
      <c r="J94" s="598">
        <v>0</v>
      </c>
      <c r="K94" s="590">
        <f>SUM(L94:Q94)</f>
        <v>122016</v>
      </c>
      <c r="L94" s="590">
        <v>122016</v>
      </c>
      <c r="M94" s="590">
        <v>0</v>
      </c>
      <c r="N94" s="590">
        <v>0</v>
      </c>
      <c r="O94" s="590">
        <v>0</v>
      </c>
      <c r="P94" s="590">
        <v>0</v>
      </c>
      <c r="Q94" s="590">
        <v>0</v>
      </c>
      <c r="R94" s="591" t="inlineStr">
        <is>
          <t xml:space="preserve"/>
        </is>
      </c>
      <c r="T94">
        <v>1</v>
      </c>
    </row>
    <row r="95">
      <c r="B95" s="589" t="inlineStr">
        <is>
          <t xml:space="preserve">   E3-2  시설 고장 접수·설비팀 연계</t>
        </is>
      </c>
      <c r="C95" s="590">
        <v>17684.2105</v>
      </c>
      <c r="D95" s="598">
        <f>SUM(E95:J95)</f>
        <v>139.84</v>
      </c>
      <c r="E95" s="598">
        <v>94.2483</v>
      </c>
      <c r="F95" s="598">
        <v>0</v>
      </c>
      <c r="G95" s="598">
        <v>39.8448</v>
      </c>
      <c r="H95" s="598">
        <v>0</v>
      </c>
      <c r="I95" s="598">
        <v>5.7468</v>
      </c>
      <c r="J95" s="598">
        <v>0</v>
      </c>
      <c r="K95" s="590">
        <f>SUM(L95:Q95)</f>
        <v>2472960</v>
      </c>
      <c r="L95" s="590">
        <v>1666707</v>
      </c>
      <c r="M95" s="590">
        <v>0</v>
      </c>
      <c r="N95" s="590">
        <v>704624</v>
      </c>
      <c r="O95" s="590">
        <v>0</v>
      </c>
      <c r="P95" s="590">
        <v>101629</v>
      </c>
      <c r="Q95" s="590">
        <v>0</v>
      </c>
      <c r="R95" s="591" t="inlineStr">
        <is>
          <t xml:space="preserve"/>
        </is>
      </c>
      <c r="T95">
        <v>1</v>
      </c>
    </row>
    <row r="96" ht="17" customHeight="1">
      <c r="B96" s="592" t="inlineStr">
        <is>
          <t xml:space="preserve">E4  업종별 특수 지원</t>
        </is>
      </c>
      <c r="C96" s="593">
        <v>17684.2136</v>
      </c>
      <c r="D96" s="599">
        <f>SUM(E96:J96)</f>
        <v>549.6726</v>
      </c>
      <c r="E96" s="599">
        <v>549.6726</v>
      </c>
      <c r="F96" s="599">
        <v>0</v>
      </c>
      <c r="G96" s="599">
        <v>0</v>
      </c>
      <c r="H96" s="599">
        <v>0</v>
      </c>
      <c r="I96" s="599">
        <v>0</v>
      </c>
      <c r="J96" s="599">
        <v>0</v>
      </c>
      <c r="K96" s="593">
        <f>SUM(L96:Q96)</f>
        <v>9720528</v>
      </c>
      <c r="L96" s="593">
        <v>9720528</v>
      </c>
      <c r="M96" s="593">
        <v>0</v>
      </c>
      <c r="N96" s="593">
        <v>0</v>
      </c>
      <c r="O96" s="593">
        <v>0</v>
      </c>
      <c r="P96" s="593">
        <v>0</v>
      </c>
      <c r="Q96" s="593">
        <v>0</v>
      </c>
      <c r="R96" s="591" t="inlineStr">
        <is>
          <t xml:space="preserve"/>
        </is>
      </c>
      <c r="T96">
        <v>0</v>
      </c>
    </row>
    <row r="97">
      <c r="B97" s="589" t="inlineStr">
        <is>
          <t xml:space="preserve">   E4-1  출퇴근 통근버스 통제</t>
        </is>
      </c>
      <c r="C97" s="590">
        <v>17684.2063</v>
      </c>
      <c r="D97" s="598">
        <f>SUM(E97:J97)</f>
        <v>299.8214</v>
      </c>
      <c r="E97" s="598">
        <v>299.8214</v>
      </c>
      <c r="F97" s="598">
        <v>0</v>
      </c>
      <c r="G97" s="598">
        <v>0</v>
      </c>
      <c r="H97" s="598">
        <v>0</v>
      </c>
      <c r="I97" s="598">
        <v>0</v>
      </c>
      <c r="J97" s="598">
        <v>0</v>
      </c>
      <c r="K97" s="590">
        <f>SUM(L97:Q97)</f>
        <v>5302104</v>
      </c>
      <c r="L97" s="590">
        <v>5302104</v>
      </c>
      <c r="M97" s="590">
        <v>0</v>
      </c>
      <c r="N97" s="590">
        <v>0</v>
      </c>
      <c r="O97" s="590">
        <v>0</v>
      </c>
      <c r="P97" s="590">
        <v>0</v>
      </c>
      <c r="Q97" s="590">
        <v>0</v>
      </c>
      <c r="R97" s="591" t="inlineStr">
        <is>
          <t xml:space="preserve"/>
        </is>
      </c>
      <c r="T97">
        <v>1</v>
      </c>
    </row>
    <row r="98">
      <c r="B98" s="589" t="inlineStr">
        <is>
          <t xml:space="preserve">   E4-2  협력업체 작업허가서 확인</t>
        </is>
      </c>
      <c r="C98" s="590">
        <v>17684.2223</v>
      </c>
      <c r="D98" s="598">
        <f>SUM(E98:J98)</f>
        <v>249.8512</v>
      </c>
      <c r="E98" s="598">
        <v>249.8512</v>
      </c>
      <c r="F98" s="598">
        <v>0</v>
      </c>
      <c r="G98" s="598">
        <v>0</v>
      </c>
      <c r="H98" s="598">
        <v>0</v>
      </c>
      <c r="I98" s="598">
        <v>0</v>
      </c>
      <c r="J98" s="598">
        <v>0</v>
      </c>
      <c r="K98" s="590">
        <f>SUM(L98:Q98)</f>
        <v>4418424</v>
      </c>
      <c r="L98" s="590">
        <v>4418424</v>
      </c>
      <c r="M98" s="590">
        <v>0</v>
      </c>
      <c r="N98" s="590">
        <v>0</v>
      </c>
      <c r="O98" s="590">
        <v>0</v>
      </c>
      <c r="P98" s="590">
        <v>0</v>
      </c>
      <c r="Q98" s="590">
        <v>0</v>
      </c>
      <c r="R98" s="591" t="inlineStr">
        <is>
          <t xml:space="preserve"/>
        </is>
      </c>
      <c r="T98">
        <v>1</v>
      </c>
    </row>
    <row r="99" ht="17" customHeight="1">
      <c r="B99" s="592" t="inlineStr">
        <is>
          <t xml:space="preserve">F  보고·행정·교육</t>
        </is>
      </c>
      <c r="C99" s="593">
        <v>17684.1915</v>
      </c>
      <c r="D99" s="599">
        <f>SUM(E99:J99)</f>
        <v>828.92</v>
      </c>
      <c r="E99" s="599">
        <v>578.1658</v>
      </c>
      <c r="F99" s="599">
        <v>0</v>
      </c>
      <c r="G99" s="599">
        <v>219.1465</v>
      </c>
      <c r="H99" s="599">
        <v>0</v>
      </c>
      <c r="I99" s="599">
        <v>31.6077</v>
      </c>
      <c r="J99" s="599">
        <v>0</v>
      </c>
      <c r="K99" s="593">
        <f>SUM(L99:Q99)</f>
        <v>14658780</v>
      </c>
      <c r="L99" s="593">
        <v>10224394</v>
      </c>
      <c r="M99" s="593">
        <v>0</v>
      </c>
      <c r="N99" s="593">
        <v>3875429</v>
      </c>
      <c r="O99" s="593">
        <v>0</v>
      </c>
      <c r="P99" s="593">
        <v>558957</v>
      </c>
      <c r="Q99" s="593">
        <v>0</v>
      </c>
      <c r="R99" s="591" t="inlineStr">
        <is>
          <t xml:space="preserve"/>
        </is>
      </c>
      <c r="T99">
        <v>0</v>
      </c>
    </row>
    <row r="100">
      <c r="B100" s="589" t="inlineStr">
        <is>
          <t xml:space="preserve">   F1  근무일지·인수인계</t>
        </is>
      </c>
      <c r="C100" s="590">
        <v>17684.1915</v>
      </c>
      <c r="D100" s="598">
        <f>SUM(E100:J100)</f>
        <v>629.28</v>
      </c>
      <c r="E100" s="598">
        <v>424.1175</v>
      </c>
      <c r="F100" s="598">
        <v>0</v>
      </c>
      <c r="G100" s="598">
        <v>179.3017</v>
      </c>
      <c r="H100" s="598">
        <v>0</v>
      </c>
      <c r="I100" s="598">
        <v>25.8608</v>
      </c>
      <c r="J100" s="598">
        <v>0</v>
      </c>
      <c r="K100" s="590">
        <f>SUM(L100:Q100)</f>
        <v>11128308</v>
      </c>
      <c r="L100" s="590">
        <v>7500175</v>
      </c>
      <c r="M100" s="590">
        <v>0</v>
      </c>
      <c r="N100" s="590">
        <v>3170805</v>
      </c>
      <c r="O100" s="590">
        <v>0</v>
      </c>
      <c r="P100" s="590">
        <v>457328</v>
      </c>
      <c r="Q100" s="590">
        <v>0</v>
      </c>
      <c r="R100" s="591" t="inlineStr">
        <is>
          <t xml:space="preserve"/>
        </is>
      </c>
      <c r="T100">
        <v>1</v>
      </c>
    </row>
    <row r="101">
      <c r="B101" s="589" t="inlineStr">
        <is>
          <t xml:space="preserve">   F2  사건·사고 보고서 작성</t>
        </is>
      </c>
      <c r="C101" s="590">
        <v>17684.058</v>
      </c>
      <c r="D101" s="598">
        <f>SUM(E101:J101)</f>
        <v>41.4</v>
      </c>
      <c r="E101" s="598">
        <v>41.4</v>
      </c>
      <c r="F101" s="598">
        <v>0</v>
      </c>
      <c r="G101" s="598">
        <v>0</v>
      </c>
      <c r="H101" s="598">
        <v>0</v>
      </c>
      <c r="I101" s="598">
        <v>0</v>
      </c>
      <c r="J101" s="598">
        <v>0</v>
      </c>
      <c r="K101" s="590">
        <f>SUM(L101:Q101)</f>
        <v>732120</v>
      </c>
      <c r="L101" s="590">
        <v>732120</v>
      </c>
      <c r="M101" s="590">
        <v>0</v>
      </c>
      <c r="N101" s="590">
        <v>0</v>
      </c>
      <c r="O101" s="590">
        <v>0</v>
      </c>
      <c r="P101" s="590">
        <v>0</v>
      </c>
      <c r="Q101" s="590">
        <v>0</v>
      </c>
      <c r="R101" s="591" t="inlineStr">
        <is>
          <t xml:space="preserve"/>
        </is>
      </c>
      <c r="T101">
        <v>1</v>
      </c>
    </row>
    <row r="102">
      <c r="B102" s="589" t="inlineStr">
        <is>
          <t xml:space="preserve">   F3  고객사 일일 업무보고</t>
        </is>
      </c>
      <c r="C102" s="590">
        <v>17684.2105</v>
      </c>
      <c r="D102" s="598">
        <f>SUM(E102:J102)</f>
        <v>139.84</v>
      </c>
      <c r="E102" s="598">
        <v>94.2483</v>
      </c>
      <c r="F102" s="598">
        <v>0</v>
      </c>
      <c r="G102" s="598">
        <v>39.8448</v>
      </c>
      <c r="H102" s="598">
        <v>0</v>
      </c>
      <c r="I102" s="598">
        <v>5.7468</v>
      </c>
      <c r="J102" s="598">
        <v>0</v>
      </c>
      <c r="K102" s="590">
        <f>SUM(L102:Q102)</f>
        <v>2472960</v>
      </c>
      <c r="L102" s="590">
        <v>1666707</v>
      </c>
      <c r="M102" s="590">
        <v>0</v>
      </c>
      <c r="N102" s="590">
        <v>704624</v>
      </c>
      <c r="O102" s="590">
        <v>0</v>
      </c>
      <c r="P102" s="590">
        <v>101629</v>
      </c>
      <c r="Q102" s="590">
        <v>0</v>
      </c>
      <c r="R102" s="591" t="inlineStr">
        <is>
          <t xml:space="preserve"/>
        </is>
      </c>
      <c r="T102">
        <v>1</v>
      </c>
    </row>
    <row r="103">
      <c r="B103" s="589" t="inlineStr">
        <is>
          <t xml:space="preserve">   F4  경비원 직무교육·소방훈련 참여</t>
        </is>
      </c>
      <c r="C103" s="590">
        <v>17684.3478</v>
      </c>
      <c r="D103" s="598">
        <f>SUM(E103:J103)</f>
        <v>18.4</v>
      </c>
      <c r="E103" s="598">
        <v>18.4</v>
      </c>
      <c r="F103" s="598">
        <v>0</v>
      </c>
      <c r="G103" s="598">
        <v>0</v>
      </c>
      <c r="H103" s="598">
        <v>0</v>
      </c>
      <c r="I103" s="598">
        <v>0</v>
      </c>
      <c r="J103" s="598">
        <v>0</v>
      </c>
      <c r="K103" s="590">
        <f>SUM(L103:Q103)</f>
        <v>325392</v>
      </c>
      <c r="L103" s="590">
        <v>325392</v>
      </c>
      <c r="M103" s="590">
        <v>0</v>
      </c>
      <c r="N103" s="590">
        <v>0</v>
      </c>
      <c r="O103" s="590">
        <v>0</v>
      </c>
      <c r="P103" s="590">
        <v>0</v>
      </c>
      <c r="Q103" s="590">
        <v>0</v>
      </c>
      <c r="R103" s="591" t="inlineStr">
        <is>
          <t xml:space="preserve"/>
        </is>
      </c>
      <c r="T103">
        <v>1</v>
      </c>
    </row>
    <row r="104" ht="20" customHeight="1">
      <c r="B104" s="594" t="inlineStr">
        <is>
          <t xml:space="preserve">① 노무비 소계 (연간 · 직접+간접)</t>
        </is>
      </c>
      <c r="C104" s="595">
        <v>17684.1962</v>
      </c>
      <c r="D104" s="600">
        <f>SUMIF($T$7:$T$103,1,D7:D103)</f>
        <v>21029.2768</v>
      </c>
      <c r="E104" s="600">
        <f>SUMIF($T$7:$T$103,1,E7:E103)</f>
        <v>14076.7049</v>
      </c>
      <c r="F104" s="600">
        <f>SUMIF($T$7:$T$103,1,F7:F103)</f>
        <v>1501.9632</v>
      </c>
      <c r="G104" s="600">
        <f>SUMIF($T$7:$T$103,1,G7:G103)</f>
        <v>4128.5808</v>
      </c>
      <c r="H104" s="600">
        <f>SUMIF($T$7:$T$103,1,H7:H103)</f>
        <v>634.9763</v>
      </c>
      <c r="I104" s="600">
        <f>SUMIF($T$7:$T$103,1,I7:I103)</f>
        <v>595.4684</v>
      </c>
      <c r="J104" s="600">
        <f>SUMIF($T$7:$T$103,1,J7:J103)</f>
        <v>91.5831</v>
      </c>
      <c r="K104" s="595">
        <f>SUMIF($T$7:$T$103,1,K7:K103)</f>
        <v>371885856</v>
      </c>
      <c r="L104" s="595">
        <f>SUMIF($T$7:$T$103,1,L7:L103)</f>
        <v>248935201</v>
      </c>
      <c r="M104" s="595">
        <f>SUMIF($T$7:$T$103,1,M7:M103)</f>
        <v>26561018</v>
      </c>
      <c r="N104" s="595">
        <f>SUMIF($T$7:$T$103,1,N7:N103)</f>
        <v>73010635</v>
      </c>
      <c r="O104" s="595">
        <f>SUMIF($T$7:$T$103,1,O7:O103)</f>
        <v>11229047</v>
      </c>
      <c r="P104" s="595">
        <f>SUMIF($T$7:$T$103,1,P7:P103)</f>
        <v>10530380</v>
      </c>
      <c r="Q104" s="595">
        <f>SUMIF($T$7:$T$103,1,Q7:Q103)</f>
        <v>1619575</v>
      </c>
      <c r="R104" s="594" t="inlineStr">
        <is>
          <t xml:space="preserve">월 30,990,488원 · 합계의 89.6%</t>
        </is>
      </c>
    </row>
    <row r="105">
      <c r="B105" s="589" t="inlineStr">
        <is>
          <t xml:space="preserve">② 경비 (연간 · 피복·복리후생·교육 등)</t>
        </is>
      </c>
      <c r="C105" s="589"/>
      <c r="D105" s="589"/>
      <c r="E105" s="589"/>
      <c r="F105" s="589"/>
      <c r="G105" s="589"/>
      <c r="H105" s="589"/>
      <c r="I105" s="589"/>
      <c r="J105" s="589"/>
      <c r="K105" s="590">
        <v>16140480</v>
      </c>
      <c r="L105" s="589"/>
      <c r="M105" s="589"/>
      <c r="N105" s="589"/>
      <c r="O105" s="589"/>
      <c r="P105" s="589"/>
      <c r="Q105" s="589"/>
      <c r="R105" s="591" t="inlineStr">
        <is>
          <t xml:space="preserve">월 1,345,040원 · 합계의 3.9%</t>
        </is>
      </c>
    </row>
    <row r="106">
      <c r="B106" s="589" t="inlineStr">
        <is>
          <t xml:space="preserve">③ 일반관리비 (연간)</t>
        </is>
      </c>
      <c r="C106" s="589"/>
      <c r="D106" s="589"/>
      <c r="E106" s="589"/>
      <c r="F106" s="589"/>
      <c r="G106" s="589"/>
      <c r="H106" s="589"/>
      <c r="I106" s="589"/>
      <c r="J106" s="589"/>
      <c r="K106" s="590">
        <v>19401840</v>
      </c>
      <c r="L106" s="589"/>
      <c r="M106" s="589"/>
      <c r="N106" s="589"/>
      <c r="O106" s="589"/>
      <c r="P106" s="589"/>
      <c r="Q106" s="589"/>
      <c r="R106" s="591" t="inlineStr">
        <is>
          <t xml:space="preserve">월 1,616,820원 · 합계의 4.7%</t>
        </is>
      </c>
    </row>
    <row r="107">
      <c r="B107" s="589" t="inlineStr">
        <is>
          <t xml:space="preserve">④ 기업이윤 · 단수조정 (연간)</t>
        </is>
      </c>
      <c r="C107" s="589"/>
      <c r="D107" s="589"/>
      <c r="E107" s="589"/>
      <c r="F107" s="589"/>
      <c r="G107" s="589"/>
      <c r="H107" s="589"/>
      <c r="I107" s="589"/>
      <c r="J107" s="589"/>
      <c r="K107" s="590">
        <v>7807824</v>
      </c>
      <c r="L107" s="589"/>
      <c r="M107" s="589"/>
      <c r="N107" s="589"/>
      <c r="O107" s="589"/>
      <c r="P107" s="589"/>
      <c r="Q107" s="589"/>
      <c r="R107" s="591" t="inlineStr">
        <is>
          <t xml:space="preserve">월 650,652원 · 합계의 1.9%</t>
        </is>
      </c>
    </row>
    <row r="108" ht="22" customHeight="1">
      <c r="B108" s="594" t="inlineStr">
        <is>
          <t xml:space="preserve">도급비 합계 ①+②+③+④ (연간 · VAT 별도)</t>
        </is>
      </c>
      <c r="C108" s="594"/>
      <c r="D108" s="594"/>
      <c r="E108" s="594"/>
      <c r="F108" s="594"/>
      <c r="G108" s="594"/>
      <c r="H108" s="594"/>
      <c r="I108" s="594"/>
      <c r="J108" s="594"/>
      <c r="K108" s="595">
        <f>SUM(K104:K107)</f>
        <v>415236000</v>
      </c>
      <c r="L108" s="594"/>
      <c r="M108" s="594"/>
      <c r="N108" s="594"/>
      <c r="O108" s="594"/>
      <c r="P108" s="594"/>
      <c r="Q108" s="594"/>
      <c r="R108" s="594" t="inlineStr">
        <is>
          <t xml:space="preserve">= 견적서 계약기간 총액 (월 34,603,000원 × 12)</t>
        </is>
      </c>
    </row>
    <row r="109">
      <c r="B109" s="589" t="inlineStr">
        <is>
          <t xml:space="preserve">월 도급비 (연간 ÷ 12) = 견적서 월 합계</t>
        </is>
      </c>
      <c r="C109" s="589"/>
      <c r="D109" s="589"/>
      <c r="E109" s="589"/>
      <c r="F109" s="589"/>
      <c r="G109" s="589"/>
      <c r="H109" s="589"/>
      <c r="I109" s="589"/>
      <c r="J109" s="589"/>
      <c r="K109" s="590">
        <f>K108/12</f>
        <v>34603000</v>
      </c>
      <c r="L109" s="589"/>
      <c r="M109" s="589"/>
      <c r="N109" s="589"/>
      <c r="O109" s="589"/>
      <c r="P109" s="589"/>
      <c r="Q109" s="589"/>
      <c r="R109" s="591" t="inlineStr">
        <is>
          <t xml:space="preserve">견적서 시트 월 합계(I31)와 같음</t>
        </is>
      </c>
    </row>
    <row r="110">
      <c r="B110" s="589" t="inlineStr">
        <is>
          <t xml:space="preserve">검증: 견적서 연 총액 · 차이</t>
        </is>
      </c>
      <c r="C110" s="589"/>
      <c r="D110" s="589"/>
      <c r="E110" s="589"/>
      <c r="F110" s="589"/>
      <c r="G110" s="589"/>
      <c r="H110" s="589"/>
      <c r="I110" s="589"/>
      <c r="J110" s="589"/>
      <c r="K110" s="590">
        <f>'2. 견적서'!I34</f>
        <v>415236000</v>
      </c>
      <c r="L110" s="590">
        <f>K108-K110</f>
        <v>0</v>
      </c>
      <c r="M110" s="589"/>
      <c r="N110" s="589"/>
      <c r="O110" s="589"/>
      <c r="P110" s="589"/>
      <c r="Q110" s="589"/>
      <c r="R110" s="591" t="inlineStr">
        <is>
          <t xml:space="preserve">L열 = 차이 (- 는 0원, 일치)</t>
        </is>
      </c>
    </row>
    <row r="112">
      <c r="B112" s="591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13">
      <c r="B113" s="591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14">
      <c r="B114" s="591" t="inlineStr">
        <is>
          <t xml:space="preserve">Produced by RatRae Choi – October 21, 2026 · Workload-Based Cost and Labor Estimation Method v1.17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showGridLines="0" workbookViewId="0">
      <pane ySplit="7" topLeftCell="A8" activePane="bottomLeft" state="frozen"/>
      <selection pane="bottomLeft"/>
    </sheetView>
  </sheetViews>
  <sheetFormatPr defaultRowHeight="15.65"/>
  <cols>
    <col min="1" max="1" width="12" customWidth="1"/>
    <col min="2" max="2" width="30" customWidth="1"/>
    <col min="3" max="4" width="16" customWidth="1"/>
    <col min="5" max="5" width="58" customWidth="1"/>
  </cols>
  <sheetData>
    <row r="1" spans="1:5" ht="22.1" customHeight="1">
      <c r="B1" s="561" t="s">
        <v>321</v>
      </c>
      <c r="C1" s="561"/>
      <c r="D1" s="561"/>
      <c r="E1" s="4" t="inlineStr">
        <is>
          <t xml:space="preserve">No. 261029-0425</t>
        </is>
      </c>
    </row>
    <row r="2" spans="1:5" ht="22.1" customHeight="1">
      <c r="B2" s="561"/>
      <c r="C2" s="561"/>
      <c r="D2" s="561"/>
      <c r="E2" s="5" t="inlineStr">
        <is>
          <t xml:space="preserve">작성일 2026. 10. 29</t>
        </is>
      </c>
    </row>
    <row r="3" spans="1:5" ht="13.95" customHeight="1">
      <c r="B3" s="527" t="inlineStr">
        <is>
          <t xml:space="preserve">공장 ○○사업장 · 반영방식 인당 단가 균등 배분 · 단위: 원, VAT 별도 · 노란 칸 = 입력값(고치면 월 금액·산출내역서가 다시 계산)</t>
        </is>
      </c>
      <c r="C3" s="527"/>
      <c r="D3" s="527"/>
    </row>
    <row r="4" spans="1:5" ht="4.95" customHeight="1">
      <c r="A4" s="1"/>
      <c r="B4" s="1"/>
      <c r="C4" s="1"/>
      <c r="D4" s="1"/>
      <c r="E4" s="1"/>
    </row>
    <row r="5" spans="1:5" ht="2.5499999999999998" customHeight="1">
      <c r="A5" s="2"/>
      <c r="B5" s="2"/>
      <c r="C5" s="2"/>
      <c r="D5" s="2"/>
      <c r="E5" s="2"/>
    </row>
    <row r="7" spans="1:5" ht="20.05" customHeight="1">
      <c r="A7" s="10" t="s">
        <v>259</v>
      </c>
      <c r="B7" s="10" t="s">
        <v>203</v>
      </c>
      <c r="C7" s="10" t="s">
        <v>92</v>
      </c>
      <c r="D7" s="10" t="s">
        <v>323</v>
      </c>
      <c r="E7" s="10" t="s">
        <v>324</v>
      </c>
    </row>
    <row r="8" spans="1:5" ht="22.1" customHeight="1">
      <c r="A8" s="562" t="s">
        <v>325</v>
      </c>
      <c r="B8" s="562"/>
      <c r="C8" s="562"/>
      <c r="D8" s="562"/>
      <c r="E8" s="562"/>
    </row>
    <row r="10" spans="1:5" ht="22.1" customHeight="1">
      <c r="A10" s="233" t="s">
        <v>326</v>
      </c>
      <c r="B10" s="233" t="s">
        <v>327</v>
      </c>
      <c r="C10" s="233"/>
      <c r="D10" s="234">
        <f>0</f>
        <v>0</v>
      </c>
      <c r="E10" s="233" t="s">
        <v>328</v>
      </c>
    </row>
    <row r="11" spans="1:5">
      <c r="A11" s="235"/>
      <c r="B11" s="235" t="s">
        <v>329</v>
      </c>
      <c r="C11" s="235"/>
      <c r="D11" s="236">
        <f>IF(11=0,0,D10/11)</f>
        <v>0</v>
      </c>
      <c r="E11" s="235" t="inlineStr">
        <is>
          <t xml:space="preserve">11명에게 균등 배분 — 산출내역서 ‘부대비용 배분’ 행</t>
        </is>
      </c>
    </row>
  </sheetData>
  <mergeCells count="3">
    <mergeCell ref="B1:D2"/>
    <mergeCell ref="B3:D3"/>
    <mergeCell ref="A8:E8"/>
  </mergeCells>
  <phoneticPr fontId="70" type="noConversion"/>
  <pageMargins left="0.4" right="0.4" top="0.5" bottom="0.5" header="0.2" footer="0.2"/>
  <pageSetup paperSize="9" fitToHeight="0" orientation="portrait" horizontalDpi="4294967295" verticalDpi="4294967295"/>
  <headerFooter>
    <oddFooter>&amp;L&amp;8㈜에스텍베스트 부대비용&amp;R&amp;8&amp;P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.65"/>
  <sheetData>
    <row r="1" spans="1:3">
      <c r="A1" t="inlineStr">
        <is>
          <t xml:space="preserve">{"meta":{"client":"공장 ○○사업장","addr":"","svc":"보안용역 도급업무","year":2027,"valid":"작성일로부터 1개월","mode":"new","grpCo":"에스텍베스트","date":"2026-10-29"},"roles":[{"rank":"경비원","title":"경비원","count":10,"wage":10700,"base":209,"ot":0,"night":0,"note":""},{"rank":"단시간 경비원","title":"단시간 경비원","count":1,"wage":10700,"base":154,"ot":0,"night":0,"note":""},{"rank":"","title":"","count":0,"wage":10700,"base":209,"ot":0,"night":0,"note":""}],"wbe":{"v":"1.6","mode":"A","ind":"factory","job":"sec","year":2027,"H":1752.4,"fte":10.73,"tree":[{"id":"n27","name":"출입통제","kids":[{"id":"n18","name":"정문 초소","kids":[{"id":"n1","name":"정문 상주 근무 (24시간 경계·대기)","kids":[],"t":{"min":1440,"qty":1,"unit":"개소","freq":1,"per":"d","type":"post","g":"C"}},{"id":"n6","name":"차량 출입관리","kids":[{"id":"n2","name":"입문 차량 확인·출입 기록","kids":[],"t":{"min":0.5,"qty":108,"unit":"대","freq":1,"per":"d","type":"work","g":"C"}},{"id":"n3","name":"출문 차량 적재물 확인","kids":[],"t":{"min":1,"qty":54,"unit":"대","freq":1,"per":"d","type":"work","g":"C"}},{"id":"n4","name":"협력업체·납품차량 출입 통제","kids":[],"t":{"min":3,"qty":18,"unit":"대","freq":1,"per":"d","type":"work","g":"C"}},{"id":"n5","name":"긴급·관공서 차량 우선 통행 안내","kids":[],"t":{"min":3,"qty":2,"unit":"대","freq":1,"per":"d","type":"work","g":"C"}}],"t":{"min":0,"qty":1,"unit":"회","freq":1,"per":"d","type":"work","g":"C"}},{"id":"n10","name":"방문객 관리","kids":[{"id":"n7","name":"방문객 신원확인·출입증 발급","kids":[],"t":{"min":2,"qty":60,"unit":"명","freq":1,"per":"d","type":"work","g":"C"}},{"id":"n8","name":"출입증 회수·방문 대장 정리","kids":[],"t":{"min":0.5,"qty":60,"unit":"명","freq":1,"per":"d","type":"work","g":"C"}},{"id":"n9","name":"사전 방문예약 확인·접견자 연락","kids":[],"t":{"min":1,"qty":24,"unit":"건","freq":1,"per":"d","type":"work","g":"C"}}],"t":{"min":0,"qty":1,"unit":"회","freq":1,"per":"d","type":"work","g":"C"}},{"id":"n13","name":"물품 반출입 관리","kids":[{"id":"n11","name":"반출입증 확인·물품 대조","kids":[],"t":{"min":3,"qty":14,"unit":"건","freq":1,"per":"d","type":"work","g":"C"}},{"id":"n12","name":"반입 금지물품(화기·위험물) 검색","kids":[],"t":{"min":1,"qty":60,"unit":"명","freq":1,"per":"d","type":"work","g":"C"}}],"t":{"min":0,"qty":1,"unit":"회","freq":1,"per":"d","type":"work","g":"C"}},{"id":"n17","name":"택배·우편 관리","kids":[{"id":"n14","name":"택배 수령·보관 등록","kids":[],"t":{"min":1,"qty":40,"unit":"건","freq":1,"per":"d","type":"work","g":"C"}},{"id":"n15","name":"수령자 연락·인계 확인","kids":[],"t":{"min":0.7,"qty":40,"unit":"건","freq":1,"per":"d","type":"work","g":"C"}},{"id":"n16","name":"등기·우편물 분류","kids":[],"t":{"min":0.5,"qty":12,"unit":"건","freq":1,"per":"d","type":"work","g":"C"}}],"t":{"min":0,"qty":1,"unit":"회","freq":1,"per":"d","type":"work","g":"C"}}],"t":{"min":0,"qty":1,"unit":"회","freq":1,"per":"d","type":"work","g":"C"}},{"id":"n22","name":"후문·부출입구","kids":[{"id":"n19","name":"후문 주간 상주 (07~19시)","kids":[],"t":{"min":720,"qty":1,"unit":"개소","freq":5,"per":"w","type":"post","g":"C"}},{"id":"n20","name":"출퇴근 시간 출입 통제","kids":[],"t":{"min":30,"qty":1,"unit":"개소","freq":10,"per":"w","type":"work","g":"C"}},{"id":"n21","name":"야간 출입문 시건·개방","kids":[],"t":{"min":10,"qty":1,"unit":"개소","freq":2,"per":"d","type":"work","g":"C"}}],"t":{"min":0,"qty":1,"unit":"회","freq":1,"per":"d","type":"work","g":"C"}},{"id":"n26","name":"출입보안시스템","kids":[{"id":"n23","name":"출입카드 발급·회수·분실 처리","kids":[],"t":{"min":5,"qty":10,"unit":"건","freq":1,"per":"w","type":"work","g":"C"}},{"id":"n24","name":"출입기록 확인·이상 출입 조치","kids":[],"t":{"min":15,"qty":1,"unit":"회","freq":1,"per":"d","type":"work","g":"C"}},{"id":"n25","name":"스피드게이트·출입통제기 작동 확인","kids":[],"t":{"min":5,"qty":2,"unit":"대","freq":1,"per":"d","type":"work","g":"C"}}],"t":{"min":0,"qty":1,"unit":"회","freq":1,"per":"d","type":"work","g":"C"}}],"t":{"min":0,"qty":1,"unit":"회","freq":1,"per":"d","type":"work","g":"C"}},{"id":"n37","name":"순찰","kids":[{"id":"n32","name":"정기순찰","kids":[{"id":"n28","name":"외곽 울타리·담장 순찰","kids":[],"t":{"min":30,"qty":2,"unit":"구역","freq":4,"per":"d","type":"work","g":"C"}},{"id":"n29","name":"건물 내부 층별 순찰","kids":[],"t":{"min":5,"qty":18,"unit":"층","freq":2,"per":"d","type":"work","g":"C"}},{"id":"n30","name":"주차장 순찰","kids":[],"t":{"min":8,"qty":3,"unit":"구역","freq":3,"per":"d","type":"work","g":"C"}},{"id":"n31","name":"야간 문단속·소등·전열기구 확인","kids":[],"t":{"min":3,"qty":18,"unit":"층","freq":1,"per":"d","type":"work","g":"C"}}],"t":{"min":0,"qty":1,"unit":"회","freq":1,"per":"d","type":"work","g":"C"}},{"id":"n36","name":"특별순찰","kids":[{"id":"n33","name":"취약지역·사각지대 집중 순찰","kids":[],"t":{"min":20,"qty":3,"unit":"개소","freq":2,"per":"d","type":"work","g":"C"}},{"id":"n34","name":"휴일·공휴일 전수 점검","kids":[],"t":{"min":30,"qty":6,"unit":"동","freq":8,"per":"m","type":"work","g":"C"}},{"id":"n35","name":"기상특보(태풍·폭우·폭설) 비상 순찰","kids":[],"t":{"min":60,"qty":6,"unit":"동","freq":4,"per":"y","type":"work","g":"C"}}],"t":{"min":0,"qty":1,"unit":"회","freq":1,"per":"d","type":"work","g":"C"}}],"t":{"min":0,"qty":1,"unit":"회","freq":1,"per":"d","type":"work","g":"C"}},{"id":"n67","name":"상황대처","kids":[{"id":"n42","name":"화재·소방","kids":[{"id":"n38","name":"화재경보 발생 시 현장 출동·확인","kids":[],"t":{"min":15,"qty":1,"unit":"건","freq":6,"per":"m","type":"work","g":"C"}},{"id":"n39","name":"비화재보 복구·수신기 리셋","kids":[],"t":{"min":10,"qty":1,"unit":"건","freq":4,"per":"m","type":"work","g":"C"}},{"id":"n40","name":"초기 소화·피난 유도","kids":[],"t":{"min":60,"qty":1,"unit":"건","freq":1,"per":"y","type":"work","g":"C"}},{"id":"n41","name":"소방서 신고·소방차 진입 안내","kids":[],"t":{"min":20,"qty":1,"unit":"건","freq":1,"per":"q","type":"work","g":"C"}}],"t":{"min":0,"qty":1,"unit":"회","freq":1,"per":"d","type":"work","g":"C"}},{"id":"n48","name":"응급·안전사고","kids":[{"id":"n43","name":"응급환자 응급조치·119 신고·인계","kids":[],"t":{"min":30,"qty":1,"unit":"건","freq":1,"per":"m","type":"work","g":"C"}},{"id":"n44","name":"AED·구급함 점검","kids":[],"t":{"min":5,"qty":6,"unit":"개소","freq":1,"per":"m","type":"work","g":"C"}},{"id":"n45","name":"산업재해 발생 시 현장 통제·보고","kids":[],"t":{"min":60,"qty":1,"unit":"건","freq":2,"per":"y","type":"work","g":"C"}},{"id":"n46","name":"승강기 갇힘 사고 대응·구조 연계","kids":[],"t":{"min":30,"qty":1,"unit":"건","freq":1,"per":"m","type":"work","g":"C"}},{"id":"n47","name":"넘어짐·추락 사고 현장 조치","kids":[],"t":{"min":20,"qty":1,"unit":"건","freq":1,"per":"m","type":"work","g":"C"}}],"t":{"min":0,"qty":1,"unit":"회","freq":1,"per":"d","type":"work","g":"C"}},{"id":"n53","name":"침입·도난·범죄","kids":[{"id":"n49","name":"무단침입 발생 시 대응·경찰 신고","kids":[],"t":{"min":40,"qty":1,"unit":"건","freq":2,"per":"m","type":"work","g":"C"}},{"id":"n50","name":"도난·분실 신고 접수·조사 협조","kids":[],"t":{"min":30,"qty":1,"unit":"건","freq":1,"per":"m","type":"work","g":"C"}},{"id":"n51","name":"CCTV 영상 확인·증거 보존 지원","kids":[],"t":{"min":30,"qty":1,"unit":"건","freq":4,"per":"m","type":"work","g":"C"}},{"id":"n52","name":"수상한 물건·거동 수상자 확인","kids":[],"t":{"min":15,"qty":1,"unit":"건","freq":8,"per":"m","type":"work","g":"C"}}],"t":{"min":0,"qty":1,"unit":"회","freq":1,"per":"d","type":"work","g":"C"}},{"id":"n58","name":"소란·민원·폭력","kids":[{"id":"n54","name":"소란·난동 발생 시 제지·분리","kids":[],"t":{"min":30,"qty":1,"unit":"건","freq":1,"per":"m","type":"work","g":"C"}},{"id":"n55","name":"주취자·노숙인 대응","kids":[],"t":{"min":20,"qty":1,"unit":"건","freq":1,"per":"m","type":"work","g":"C"}},{"id":"n56","name":"현장 민원 접수·응대","kids":[],"t":{"min":10,"qty":3,"unit":"건","freq":1,"per":"d","type":"work","g":"C"}},{"id":"n57","name":"집회·시위 발생 시 출입 통제","kids":[],"t":{"min":120,"qty":1,"unit":"건","freq":1,"per":"y","type":"work","g":"C"}}],"t":{"min":0,"qty":1,"unit":"회","freq":1,"per":"d","type":"work","g":"C"}},{"id":"n63","name":"설비 이상·재난","kids":[{"id":"n59","name":"정전 시 비상조명 확인·설비팀 연락","kids":[],"t":{"min":30,"qty":1,"unit":"건","freq":2,"per":"y","type":"work","g":"C"}},{"id":"n60","name":"누수·배관 파열 초동 조치","kids":[],"t":{"min":30,"qty":1,"unit":"건","freq":3,"per":"m","type":"work","g":"C"}},{"id":"n61","name":"가스·화학물질 누출 초동 조치","kids":[],"t":{"min":60,"qty":1,"unit":"건","freq":2,"per":"y","type":"work","g":"C"}},{"id":"n62","name":"태풍·폭우 대비 시설물 결박·배수구 점검","kids":[],"t":{"min":60,"qty":6,"unit":"동","freq":3,"per":"y","type":"work","g":"C"}}],"t":{"min":0,"qty":1,"unit":"회","freq":1,"per":"d","type":"work","g":"C"}},{"id":"n66","name":"교통·주차 사고","kids":[{"id":"n64","name":"구내 교통사고 현장 통제·보고","kids":[],"t":{"min":40,"qty":1,"unit":"건","freq":1,"per":"m","type":"work","g":"C"}},{"id":"n65","name":"통행 방해·불법주차 차량 조치","kids":[],"t":{"min":5,"qty":6,"unit":"건","freq":1,"per":"d","type":"work","g":"C"}}],"t":{"min":0,"qty":1,"unit":"회","freq":1,"per":"d","type":"work","g":"C"}}],"t":{"min":0,"qty":1,"unit":"회","freq":1,"per":"d","type":"work","g":"C"}},{"id":"n80","name":"관제·방재","kids":[{"id":"n71","name":"CCTV 관제","kids":[{"id":"n68","name":"CCTV 모니터링 (정문 초소 겸무)","kids":[],"t":{"min":10,"qty":1,"unit":"회","freq":6,"per":"d","type":"work","g":"C"}},{"id":"n69","name":"CCTV 녹화 상태·카메라 점검","kids":[],"t":{"min":1,"qty":120,"unit":"대","freq":1,"per":"w","type":"work","g":"C"}},{"id":"n70","name":"영상 열람·반출 요청 처리","kids":[],"t":{"min":30,"qty":1,"unit":"건","freq":4,"per":"m","type":"work","g":"C"}}],"t":{"min":0,"qty":1,"unit":"회","freq":1,"per":"d","type":"work","g":"C"}},{"id":"n75","name":"방재·설비 감시","kids":[{"id":"n72","name":"화재수신기·방재반 감시 기록","kids":[],"t":{"min":10,"qty":1,"unit":"회","freq":3,"per":"d","type":"work","g":"C"}},{"id":"n73","name":"무인경비·침입감지 알람 확인","kids":[],"t":{"min":10,"qty":1,"unit":"건","freq":2,"per":"d","type":"work","g":"C"}},{"id":"n74","name":"비상방송·안내방송 송출","kids":[],"t":{"min":5,"qty":1,"unit":"회","freq":1,"per":"d","type":"work","g":"C"}}],"t":{"min":0,"qty":1,"unit":"회","freq":1,"per":"d","type":"work","g":"C"}},{"id":"n79","name":"소방시설 일상점검","kids":[{"id":"n76","name":"소화기·옥내소화전 외관 점검","kids":[],"t":{"min":1,"qty":125,"unit":"개","freq":1,"per":"m","type":"work","g":"C"}},{"id":"n77","name":"방화문·피난통로 적치물 확인","kids":[],"t":{"min":2,"qty":18,"unit":"층","freq":1,"per":"w","type":"work","g":"C"}},{"id":"n78","name":"유도등·비상조명 점등 확인","kids":[],"t":{"min":0.5,"qty":72,"unit":"개","freq":1,"per":"m","type":"work","g":"C"}}],"t":{"min":0,"qty":1,"unit":"회","freq":1,"per":"d","type":"work","g":"C"}}],"t":{"min":0,"qty":1,"unit":"회","freq":1,"per":"d","type":"work","g":"C"}},{"id":"n96","name":"고객사 업무 지원","kids":[{"id":"n84","name":"안내·의전","kids":[{"id":"n81","name":"VIP·귀빈 영접 및 차량 안내","kids":[],"t":{"min":20,"qty":2,"unit":"건","freq":4,"per":"m","type":"work","g":"C"}},{"id":"n82","name":"회의·행사장 출입 통제","kids":[],"t":{"min":120,"qty":2,"unit":"회","freq":1,"per":"m","type":"work","g":"C"}},{"id":"n83","name":"행사 주차 안내·교통 정리","kids":[],"t":{"min":90,"qty":1,"unit":"회","freq":1,"per":"m","type":"work","g":"C"}}],"t":{"min":0,"qty":1,"unit":"회","freq":1,"per":"d","type":"work","g":"C"}},{"id":"n89","name":"행정 지원","kids":[{"id":"n85","name":"열쇠·출입카드 보관·대여 관리","kids":[],"t":{"min":2,"qty":20,"unit":"건","freq":1,"per":"d","type":"work","g":"C"}},{"id":"n86","name":"분실물·습득물 접수·보관·반환","kids":[],"t":{"min":5,"qty":2,"unit":"건","freq":1,"per":"d","type":"work","g":"C"}},{"id":"n87","name":"공지문·게시물 부착·회수","kids":[],"t":{"min":20,"qty":6,"unit":"동","freq":2,"per":"m","type":"work","g":"C"}},{"id":"n88","name":"고객사 요청 문서·물품 전달","kids":[],"t":{"min":15,"qty":2,"unit":"건","freq":1,"per":"d","type":"work","g":"C"}}],"t":{"min":0,"qty":1,"unit":"회","freq":1,"per":"d","type":"work","g":"C"}},{"id":"n92","name":"시설·환경 지원","kids":[{"id":"n90","name":"제설·염화칼슘 살포 지원","kids":[],"t":{"min":60,"qty":2,"unit":"구역","freq":3,"per":"y","type":"work","g":"C"}},{"id":"n91","name":"시설 고장 접수·설비팀 연계","kids":[],"t":{"min":10,"qty":2,"unit":"건","freq":1,"per":"d","type":"work","g":"C"}}],"t":{"min":0,"qty":1,"unit":"회","freq":1,"per":"d","type":"work","g":"C"}},{"id":"n95","name":"업종별 특수 지원","kids":[{"id":"n93","name":"출퇴근 통근버스 통제","kids":[],"t":{"min":30,"qty":2,"unit":"회","freq":5,"per":"w","type":"work","g":"C"}},{"id":"n94","name":"협력업체 작업허가서 확인","kids":[],"t":{"min":5,"qty":10,"unit":"건","freq":5,"per":"w","type":"work","g":"C"}}],"t":{"min":0,"qty":1,"unit":"회","freq":1,"per":"d","type":"work","g":"C"}}],"t":{"min":0,"qty":1,"unit":"회","freq":1,"per":"d","type":"work","g":"C"}},{"id":"n101","name":"보고·행정·교육","kids":[{"id":"n97","name":"근무일지·인수인계","kids":[],"t":{"min":15,"qty":2,"unit":"개소","freq":3,"per":"d","type":"work","g":"C"}},{"id":"n98","name":"사건·사고 보고서 작성","kids":[],"t":{"min":30,"qty":1,"unit":"건","freq":6,"per":"m","type":"work","g":"C"}},{"id":"n99","name":"고객사 일일 업무보고","kids":[],"t":{"min":20,"qty":1,"unit":"회","freq":1,"per":"d","type":"work","g":"C"}},{"id":"n100","name":"경비원 직무교육·소방훈련 참여","kids":[],"t":{"min":240,"qty":1,"unit":"회","freq":1,"per":"q","type":"work","g":"C"}}],"t":{"min":0,"qty":1,"unit":"회","freq":1,"per":"d","type":"work","g":"C"}}],"params":{"days":30.4,"allow":15,"week":40,"loss":6,"wage":10700,"otH":0,"nightH":0,"allowance":0,"bonus":0,"pension":5,"health":3.595,"ltc":13.14,"emp":1.85,"acc":0.86,"expense":430000,"mgmt":5,"profit":2,"weekMode":"auto","shift":"d5_8","v19":1,"plan":"precise","cFull":10,"cPartN":0,"cPartH":20}}}</t>
        </is>
      </c>
      <c r="B1" t="s">
        <v>416</v>
      </c>
      <c r="C1">
        <v>12955</v>
      </c>
    </row>
  </sheetData>
  <phoneticPr fontId="70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6</vt:i4>
      </vt:variant>
    </vt:vector>
  </HeadingPairs>
  <TitlesOfParts>
    <vt:vector size="14" baseType="lpstr">
      <vt:lpstr>1. 표지</vt:lpstr>
      <vt:lpstr>2. 견적서(2027)</vt:lpstr>
      <vt:lpstr>3. 산출내역서(2027)</vt:lpstr>
      <vt:lpstr>4. 전년대비 비교표</vt:lpstr>
      <vt:lpstr>5. 산출내역서(2026)</vt:lpstr>
      <vt:lpstr>6. 부대비용</vt:lpstr>
      <vt:lpstr>7. 당해년 견적서(2026·원본)</vt:lpstr>
      <vt:lpstr>8. 익년 견적서(2027·고객사 양식)</vt:lpstr>
      <vt:lpstr>'1. 표지'!Print_Area</vt:lpstr>
      <vt:lpstr>'3. 산출내역서(2027)'!Print_Area</vt:lpstr>
      <vt:lpstr>'5. 산출내역서(2026)'!Print_Area</vt:lpstr>
      <vt:lpstr>'7. 당해년 견적서(2026·원본)'!Print_Area</vt:lpstr>
      <vt:lpstr>'8. 익년 견적서(2027·고객사 양식)'!Print_Area</vt:lpstr>
      <vt:lpstr>부대비용월계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2026-10-28T17:17:31Z</dcterms:created>
  <dcterms:modified xsi:type="dcterms:W3CDTF">2026-10-28T17:21:37Z</dcterms:modified>
  <cp:category/>
</cp:coreProperties>
</file>