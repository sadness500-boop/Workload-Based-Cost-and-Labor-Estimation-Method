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표지" state="visible" r:id="rId4"/>
    <sheet sheetId="2" name="견적서" state="visible" r:id="rId5"/>
    <sheet sheetId="3" name="산출내역서" state="visible" r:id="rId6"/>
    <sheet sheetId="4" name="부대비용" state="visible" r:id="rId7"/>
    <sheet name="업무별 비용 배분" sheetId="6" r:id="rId9"/>
    <sheet name="업무량 산출내역" sheetId="7" r:id="rId10"/>
    <sheet sheetId="5" name="_stec_data" state="veryHidden" r:id="rId8"/>
  </sheets>
  <definedNames>
    <definedName name="_xlnm.Print_Area" localSheetId="0">'표지'!$A$1:$J$49</definedName>
    <definedName name="_xlnm.Print_Area" localSheetId="2">'산출내역서'!$A$1:$I$109</definedName>
  </definedNames>
  <calcPr calcId="171027" fullCalcOnLoad="1"/>
</workbook>
</file>

<file path=xl/sharedStrings.xml><?xml version="1.0" encoding="utf-8"?>
<sst xmlns="http://schemas.openxmlformats.org/spreadsheetml/2006/main" count="371" uniqueCount="235">
  <si>
    <t>에스텍 그룹</t>
  </si>
  <si>
    <t>현대자동차 울산공장 정문  보안용역 도급업무</t>
  </si>
  <si>
    <t>見   積   書</t>
  </si>
  <si>
    <t>2027년 용역 도급 견적서   ·   Q U O T A T I O N</t>
  </si>
  <si>
    <t>투입 인력 구성</t>
  </si>
  <si>
    <t>수   신</t>
  </si>
  <si>
    <t>현대자동차 울산공장 정문 貴中</t>
  </si>
  <si>
    <t>용 역 명</t>
  </si>
  <si>
    <t>보안용역 도급업무</t>
  </si>
  <si>
    <t>용역기간</t>
  </si>
  <si>
    <t>2027. 1. 1 ~ 2027. 12. 31 (12개월)</t>
  </si>
  <si>
    <t>견적금액</t>
  </si>
  <si>
    <t>견적기준</t>
  </si>
  <si>
    <t>2027년 최저임금 10,700원 · 4대보험 법정요율</t>
  </si>
  <si>
    <t>2026년  10월</t>
  </si>
  <si>
    <r>
      <rPr>
        <b/>
        <color rgb="FF1B2A86"/>
        <sz val="14"/>
        <rFont val="맑은 고딕"/>
      </rPr>
      <t xml:space="preserve">㈜에스텍시스템
</t>
    </r>
    <r>
      <rPr>
        <color rgb="FF5D6784"/>
        <sz val="9.5"/>
        <rFont val="맑은 고딕"/>
      </rPr>
      <t>에스텍 그룹</t>
    </r>
  </si>
  <si>
    <t xml:space="preserve">서울특별시 강남구 개포로 619, 8층(개포동, 서울강남우체국청사)  ·  </t>
  </si>
  <si>
    <t>견   적   서</t>
  </si>
  <si>
    <t>No. 261021-2703</t>
  </si>
  <si>
    <t>작성일 2026. 10. 21</t>
  </si>
  <si>
    <t>Q U O T A T I O N</t>
  </si>
  <si>
    <r>
      <rPr>
        <b/>
        <sz val="15"/>
        <rFont val="맑은 고딕"/>
      </rPr>
      <t xml:space="preserve">현대자동차 울산공장 정문  </t>
    </r>
    <r>
      <rPr>
        <color rgb="FF5D6784"/>
        <sz val="11"/>
        <rFont val="맑은 고딕"/>
      </rPr>
      <t>貴中</t>
    </r>
  </si>
  <si>
    <t>등록번호</t>
  </si>
  <si>
    <t>202-81-62708</t>
  </si>
  <si>
    <t>상 호</t>
  </si>
  <si>
    <t>㈜에스텍시스템</t>
  </si>
  <si>
    <t>대 표</t>
  </si>
  <si>
    <t>이병화  (인)</t>
  </si>
  <si>
    <t>주 소</t>
  </si>
  <si>
    <t>서울특별시 강남구 개포로 619, 8층(개포동, 서울강남우체국청사)</t>
  </si>
  <si>
    <t>유효기간</t>
  </si>
  <si>
    <t>작성일로부터 1개월</t>
  </si>
  <si>
    <t>업 태</t>
  </si>
  <si>
    <t>서비스</t>
  </si>
  <si>
    <t>종 목</t>
  </si>
  <si>
    <t>시설경비·신변보호·기계경비·호송경비, 건물(시설)관리용역, 위생관리, 주차관리</t>
  </si>
  <si>
    <t>사 업 장</t>
  </si>
  <si>
    <t>울산 북구 염포로 700</t>
  </si>
  <si>
    <t>허가·신고</t>
  </si>
  <si>
    <t/>
  </si>
  <si>
    <t>귀사의 무궁한 발전을 기원하며, 아래와 같이 견적합니다.</t>
  </si>
  <si>
    <t>담 당</t>
  </si>
  <si>
    <t>견적금액 · 월 (VAT 별도)</t>
  </si>
  <si>
    <t>■ 투입 인력 구성</t>
  </si>
  <si>
    <t>■ 견적 내역</t>
  </si>
  <si>
    <t>(단위: 명, 원 / VAT 별도)</t>
  </si>
  <si>
    <t>No</t>
  </si>
  <si>
    <t>직종</t>
  </si>
  <si>
    <t>직책</t>
  </si>
  <si>
    <t>근무지·직무</t>
  </si>
  <si>
    <t>운영형태</t>
  </si>
  <si>
    <t>인원</t>
  </si>
  <si>
    <t>2027년 단가</t>
  </si>
  <si>
    <t>월 합계</t>
  </si>
  <si>
    <t>비고</t>
  </si>
  <si>
    <t>보안</t>
  </si>
  <si>
    <t>실장</t>
  </si>
  <si>
    <t>주간 주5일 (11h·연장3h/일)</t>
  </si>
  <si>
    <t>팀장</t>
  </si>
  <si>
    <t>요원</t>
  </si>
  <si>
    <t>3조2교대 (12h)</t>
  </si>
  <si>
    <t>부가가치세 (10%)</t>
  </si>
  <si>
    <t>월 총계 (VAT 포함)</t>
  </si>
  <si>
    <t>계약기간 총액 (VAT 별도 · 12개월)</t>
  </si>
  <si>
    <t>■ 견적 조건</t>
  </si>
  <si>
    <t>○ 견적 기준 : 2027년 최저임금(10,700원) 및 통상시급 적용</t>
  </si>
  <si>
    <t xml:space="preserve">    단, 매년 법정최저임금(4대보험 포함) 등 관계법령이 변경될 경우 그 즉시 변경된 내용에 따라 적용합니다.</t>
  </si>
  <si>
    <t>○ 납입 조건 : 전자세금계산서 발행(당월 20일 청구, 익월 5일 납입, 현금결제)</t>
  </si>
  <si>
    <t>○ 손해배상 : 총 2억원 (당사의 귀책사유로 인한 사고 발생시 손해배상 책임보험에 의거)</t>
  </si>
  <si>
    <t xml:space="preserve">    1) 대인배상 : 1인 2천만원 한도 총 1억원(1사고당), 2) 대물배상 : 1억원한도(사고당)</t>
  </si>
  <si>
    <t>○ 상기 금액은 피복, 장비, 복리후생 등 포함한 금액입니다.</t>
  </si>
  <si>
    <t>○ 업무 수행에 필요한 근무실, 휴게실, 청소용품(소모품 포함), 집기류, 통신, 식사는 고객사 제공조건</t>
  </si>
  <si>
    <t xml:space="preserve">㈜에스텍시스템 · 에스텍 그룹
서울특별시 강남구 개포로 619, 8층(개포동, 서울강남우체국청사)</t>
  </si>
  <si>
    <t>2027년 현대자동차 울산공장 정문 산출내역서</t>
  </si>
  <si>
    <t>보안용역 도급업무 · 용역기간 2027. 1. 1 ~ 2027. 12. 31 · 단위: 원, VAT 별도 · 노란 칸 = 입력값(수정 시 자동 재계산)</t>
  </si>
  <si>
    <t>구  분</t>
  </si>
  <si>
    <t>월간총액</t>
  </si>
  <si>
    <t>평균단가</t>
  </si>
  <si>
    <t>계약기간 계</t>
  </si>
  <si>
    <t>산출 근거 (수식)</t>
  </si>
  <si>
    <t>주간 주5일</t>
  </si>
  <si>
    <t>3조2교대</t>
  </si>
  <si>
    <t>기초자료</t>
  </si>
  <si>
    <t>인원(명)</t>
  </si>
  <si>
    <t>입력값</t>
  </si>
  <si>
    <t>시급</t>
  </si>
  <si>
    <t>기본시간(주휴포함)</t>
  </si>
  <si>
    <t>연장근로시간</t>
  </si>
  <si>
    <t>야간근로시간</t>
  </si>
  <si>
    <t>공휴일근무(일/년)</t>
  </si>
  <si>
    <t>연차적치일수</t>
  </si>
  <si>
    <t>상여율(연, 기본급 대비)</t>
  </si>
  <si>
    <t>상여 기준(0=기본급,1=통상임금)</t>
  </si>
  <si>
    <t>근로자의날 유급시간</t>
  </si>
  <si>
    <t>감시단속(1=승인)</t>
  </si>
  <si>
    <t>퇴직충당금(1=반영)</t>
  </si>
  <si>
    <t>국민연금 적용률</t>
  </si>
  <si>
    <t>특수검진(1=적용)</t>
  </si>
  <si>
    <t>부대비용 배분제외(1=제외)</t>
  </si>
  <si>
    <t>연간 근무개월</t>
  </si>
  <si>
    <t>통상시급</t>
  </si>
  <si>
    <t>직접인건비</t>
  </si>
  <si>
    <t>기본급여</t>
  </si>
  <si>
    <t>ROUNDUP(시급 × 기본시간, -1)</t>
  </si>
  <si>
    <t>연장근로수당</t>
  </si>
  <si>
    <t>감시단속: 시급×배율 / 일반: 통상시급×1.5 × 연장시간</t>
  </si>
  <si>
    <t>야간가산수당</t>
  </si>
  <si>
    <t>ROUNDUP(야간근로시간 × 가산율 × 통상시급, -1)</t>
  </si>
  <si>
    <t>직책수당</t>
  </si>
  <si>
    <t>공휴일근무수당</t>
  </si>
  <si>
    <t>시급 × 공휴일수 × 8h × 50% ÷ 12</t>
  </si>
  <si>
    <t>직무수당</t>
  </si>
  <si>
    <t>식대(비과세)</t>
  </si>
  <si>
    <t>조정수당</t>
  </si>
  <si>
    <t>소  계</t>
  </si>
  <si>
    <t>기본급여 ~ 조정수당 합계</t>
  </si>
  <si>
    <t>연차수당(적치)</t>
  </si>
  <si>
    <t>ROUNDUP(통상시급 × 연차1일시간 × 적치일수 ÷ 12, -1)</t>
  </si>
  <si>
    <t>근로자의날</t>
  </si>
  <si>
    <t>ROUNDUP(유급시간 ÷ 12 × 통상시급, -1)</t>
  </si>
  <si>
    <t>상여금</t>
  </si>
  <si>
    <t>ROUNDUP(기본급(또는 통상임금) × 상여율 ÷ 12, -1)</t>
  </si>
  <si>
    <t>퇴직충당금</t>
  </si>
  <si>
    <t>ROUNDUP((소계+연차+근로자의날+상여금) ÷ 12, -1)</t>
  </si>
  <si>
    <t>직접비 계 ①</t>
  </si>
  <si>
    <t>소계 + 연차 + 근로자의날 + 상여금 + 퇴직충당금</t>
  </si>
  <si>
    <t>간접인건비</t>
  </si>
  <si>
    <t>건강보험료</t>
  </si>
  <si>
    <t>ROUNDUP((직접비 계 − 퇴직충당금 − 식대) × 건강보험요율, -1)</t>
  </si>
  <si>
    <t>노인장기요양보험</t>
  </si>
  <si>
    <t>ROUNDUP(건강보험료 × 장기요양요율, -1)</t>
  </si>
  <si>
    <t>국민연금</t>
  </si>
  <si>
    <t>ROUNDUP((직접비−퇴직−식대) × 국민연금요율 × 적용률, -1)</t>
  </si>
  <si>
    <t>고용보험료</t>
  </si>
  <si>
    <t>ROUNDUP((직접비−퇴직−식대) × 고용보험요율, -1)</t>
  </si>
  <si>
    <t>산재보험료</t>
  </si>
  <si>
    <t>ROUNDUP((직접비−퇴직−식대) × 산재보험요율, -1)</t>
  </si>
  <si>
    <t>임금채권부담금</t>
  </si>
  <si>
    <t>ROUNDUP((직접비−퇴직−식대) × 임금채권요율, -1)</t>
  </si>
  <si>
    <t>석면피해구제분담금</t>
  </si>
  <si>
    <t>ROUNDUP((직접비−퇴직−식대) × 석면요율, -1)</t>
  </si>
  <si>
    <t>특수건강검진</t>
  </si>
  <si>
    <t>ROUNDUP(연 검진비 ÷ 12, -1)</t>
  </si>
  <si>
    <t>장애인고용부담금</t>
  </si>
  <si>
    <t>ROUNDUP(의무고용률 × 부담기초액 × 반영률, -1)</t>
  </si>
  <si>
    <t>간접비 계 ②</t>
  </si>
  <si>
    <t>건강보험 ~ 장애인부담금 합계</t>
  </si>
  <si>
    <t>노무비 계 (1)</t>
  </si>
  <si>
    <t>직접비 ① + 간접비 ②</t>
  </si>
  <si>
    <t>경비</t>
  </si>
  <si>
    <t>피복장구비</t>
  </si>
  <si>
    <t>직원선물대</t>
  </si>
  <si>
    <t>ROUNDUP(명절선물 ÷ 12, -1)</t>
  </si>
  <si>
    <t>직원회의비</t>
  </si>
  <si>
    <t>경조비</t>
  </si>
  <si>
    <t>대치근무비</t>
  </si>
  <si>
    <t>통상시급 × 기준시간 × 대치일수 ÷ 12</t>
  </si>
  <si>
    <t>주민세(사업소분)</t>
  </si>
  <si>
    <t>주민세 × 개소 ÷ 12 ÷ 총인원</t>
  </si>
  <si>
    <t>교육훈련비</t>
  </si>
  <si>
    <t>고정액 또는 노무비 × 교육훈련비율</t>
  </si>
  <si>
    <t>위험부담금</t>
  </si>
  <si>
    <t>고정액 또는 노무비 × 위험부담율</t>
  </si>
  <si>
    <t>부대비용 배분</t>
  </si>
  <si>
    <t>부대비용 월계 ÷ 배분 인원</t>
  </si>
  <si>
    <t>경비 계 (2)</t>
  </si>
  <si>
    <t>피복 ~ 부대비용 합계</t>
  </si>
  <si>
    <t>원가</t>
  </si>
  <si>
    <t>1. 직접원가</t>
  </si>
  <si>
    <t>노무비 (1) + 경비 (2)</t>
  </si>
  <si>
    <t>2. 일반관리비</t>
  </si>
  <si>
    <t>직접원가 × 일반관리비율</t>
  </si>
  <si>
    <t>3. 원가소계</t>
  </si>
  <si>
    <t>직접원가 + 일반관리비</t>
  </si>
  <si>
    <t>4. 기업이윤</t>
  </si>
  <si>
    <t>직접원가(또는 원가소계) × 이윤율</t>
  </si>
  <si>
    <t>5. 원가총계</t>
  </si>
  <si>
    <t>원가소계 + 기업이윤</t>
  </si>
  <si>
    <t>6. 견적금액(인당)</t>
  </si>
  <si>
    <t>원가총계 단수처리</t>
  </si>
  <si>
    <t>■ 산출 기준 (2027년 · 사업주 부담) — 노란 칸의 요율·기준을 고치면 위 산출내역이 모두 다시 계산됩니다</t>
  </si>
  <si>
    <t>항목</t>
  </si>
  <si>
    <t>값</t>
  </si>
  <si>
    <t>최저시급 (시간당)</t>
  </si>
  <si>
    <t>원 · 2027년 · 법정(4. 요율·기준)</t>
  </si>
  <si>
    <t>건강보험</t>
  </si>
  <si>
    <t>보수월액 × 7.19% 중 사업주분 · 법정(4. 요율·기준)</t>
  </si>
  <si>
    <t>노인장기요양 (건보료 대비)</t>
  </si>
  <si>
    <t>고용보험</t>
  </si>
  <si>
    <t>실업급여 + 고용안정·직능(규모별)</t>
  </si>
  <si>
    <t>산재보험</t>
  </si>
  <si>
    <t>사업종류별 + 출퇴근재해</t>
  </si>
  <si>
    <t>연장 가산배율 (일반)</t>
  </si>
  <si>
    <t>연장 배율 (감시단속)</t>
  </si>
  <si>
    <t>야간 가산율</t>
  </si>
  <si>
    <t>연차 1일 시간</t>
  </si>
  <si>
    <t>특수건강검진 (연/인)</t>
  </si>
  <si>
    <t>장애인부담금 반영 (1=반영)</t>
  </si>
  <si>
    <t>장애인 의무고용률</t>
  </si>
  <si>
    <t>부담기초액</t>
  </si>
  <si>
    <t>부담금 반영률</t>
  </si>
  <si>
    <t>명절선물대 (연/인)</t>
  </si>
  <si>
    <t>직원회의비 (월)</t>
  </si>
  <si>
    <t>경조비 (월)</t>
  </si>
  <si>
    <t>대치근무 기준시간</t>
  </si>
  <si>
    <t>대치근무 일수 (연)</t>
  </si>
  <si>
    <t>주민세 사업소분 (연)</t>
  </si>
  <si>
    <t>주민세 개소 수</t>
  </si>
  <si>
    <t>총 인원</t>
  </si>
  <si>
    <t>인원 행 합계</t>
  </si>
  <si>
    <t>교육훈련비율 (노무비 대비)</t>
  </si>
  <si>
    <t>교육훈련비 고정액</t>
  </si>
  <si>
    <t>0이면 비율 적용</t>
  </si>
  <si>
    <t>위험부담율 (노무비 대비)</t>
  </si>
  <si>
    <t>위험부담금 고정액</t>
  </si>
  <si>
    <t>부대비용 인당 배분 (1=배분)</t>
  </si>
  <si>
    <t>0이면 별도 청구</t>
  </si>
  <si>
    <t>부대비용 월계</t>
  </si>
  <si>
    <t>차량·장비·기타</t>
  </si>
  <si>
    <t>배분 대상 인원</t>
  </si>
  <si>
    <t>일반관리비율</t>
  </si>
  <si>
    <t>일반관리비 10원 절상 (1=예)</t>
  </si>
  <si>
    <t>기업이윤율</t>
  </si>
  <si>
    <t>이윤 기준 (0=직접원가, 1=원가소계)</t>
  </si>
  <si>
    <t>㈜에스텍시스템 · 에스텍 그룹   |   서울특별시 강남구 개포로 619, 8층(개포동, 서울강남우체국청사)</t>
  </si>
  <si>
    <t>부대비용 산출 명세</t>
  </si>
  <si>
    <t>현대자동차 울산공장 정문 · 반영방식 인당 단가 균등 배분 · 단위: 원, VAT 별도</t>
  </si>
  <si>
    <t>구분</t>
  </si>
  <si>
    <t>수량</t>
  </si>
  <si>
    <t>월 금액</t>
  </si>
  <si>
    <t>산출 근거</t>
  </si>
  <si>
    <t>합계</t>
  </si>
  <si>
    <t>인당 0원 배분 (13명)</t>
  </si>
  <si>
    <t>{"meta":{"client":"현대자동차 울산공장 정문","addr":"울산 북구 염포로 700","svc":"보안용역 도급업무","year":2027,"date":"2026-10-21","from":"2027-01-01","to":"2027-12-31","valid":"작성일로부터 1개월","mode":"new","branch":"부경본부","grpCo":"에스텍시스템","siteId":null,"lat":35.54323224110387,"lng":129.38463055208857,"geoName":"현대자동차 울산공장 정문","geoSrc":"카카오맵","geoInfo":{"src":"카카오맵","name":"현대자동차 울산공장 정문","type":"입출구","addr":"울산 북구 염포로 700","region":"울산 북구 양정동","postcode":"","osm":"","lat":35.54323224110387,"lng":129.38463055208857,"tags":{},"wiki":{"title":"정주영","extract":"정주영(鄭周永, 1915년 11월 25일~2001년 3월 21일)은 현대그룹 창업주로 대한민국의 기업인, 정치인이다. 제14대 국회의원을 지냈다. 본관은 하동(河東), 아호(雅號)는 아산(峨山)이다.","url":"https://ko.wikipedia.org/wiki/%EC%A0%95%EC%A3%BC%EC%98%81","thumb":"https://thumb.wikimedia.org/wikipedia/commons/thumb/c/c3/Chung_Ju-yung_%28Cropped%29.jpg/330px-Chung_Ju-yung_%28Cropped%29.jpg?utm_source=ko.wikipedia.org&amp;utm_campaign=api&amp;utm_content=thumbnail"},"loading":false,"category":"교통,수송 &gt; 입출구","road":"울산 북구 염포로 700","jibun":"울산 북구 양정동 700","phone":"","kakaoUrl":"http://place.map.kakao.com/394445757","kid":"394445757"}},"roles":[{"id":"r1000ibzc","cat":"sec","rank":"실장","detail":"","gender":"M","shift":"day5_11","count":1,"wage":10700,"base":209,"ot":65,"night":0,"dayH":12,"rest":1,"watch":true,"pos":0,"adj":0,"duty":500000,"meal":0,"holDays":0,"leave":15,"laborDay":true,"retire":true,"bonusPct":0,"bonusBase":"basic","pensionPct":100,"special":"auto","uniform":30000,"months":12,"prev":0,"note":"","addonEx":false,"title":"실장"},{"id":"r1001vcmk","cat":"sec","rank":"팀장","detail":"","gender":"M","shift":"day5_11","count":3,"wage":10700,"base":209,"ot":65,"night":0,"dayH":12,"rest":1,"watch":true,"pos":0,"adj":0,"duty":300000,"meal":0,"holDays":0,"leave":15,"laborDay":true,"retire":true,"bonusPct":0,"bonusBase":"basic","pensionPct":100,"special":"auto","uniform":30000,"months":12,"prev":0,"note":"","addonEx":false,"title":"팀장"},{"id":"r1002p9ns","cat":"sec","rank":"요원","detail":"","gender":"M","shift":"s32","count":9,"wage":10700,"base":209,"ot":25,"night":82,"dayH":12,"rest":1,"watch":true,"pos":0,"adj":100000,"duty":0,"meal":0,"holDays":0,"leave":15,"laborDay":true,"retire":true,"bonusPct":0,"bonusBase":"basic","pensionPct":100,"special":"auto","uniform":30000,"months":12,"prev":0,"note":"","addonEx":false,"title":"요원"}],"vehicles":[],"equips":[],"others":[],"addonMode":"spread","addonMargin":true,"set":{"minWage":10700,"health":3.595,"ltc":13.14,"pension":5,"empSize":"o1000","emp":1.85,"indBase":0.8,"indCom":0.06,"ind":0.86,"wageClaim":0.09,"asb":0.006,"otGen":1.5,"otWatch":1,"nightRate":0.5,"specialExam":80000,"disOn":true,"disRate":3.1,"disBase":1360000,"disRatio":100,"gift":100000,"meeting":10000,"condol":4000,"reliefH":12,"reliefDays":1.8,"resTax":62500,"resSites":1,"edu":1,"eduFix":0,"risk":0.5,"riskFix":0,"leaveH":8,"ga":5,"profit":2,"profitBase":"direct","gaRound":true,"priceRound":"down3","vat":10,"coKey":"에스텍시스템","coName":"㈜에스텍시스템","coCeo":"이병화","coBizNo":"202-81-62708","coCorpNo":"110111-1627144","coAddr":"서울특별시 강남구 개포로 619, 8층(개포동, 서울강남우체국청사)","coType":"서비스","coItem":"시설경비·신변보호·기계경비·호송경비, 건물(시설)관리용역, 위생관리, 주차관리","coLic":"","coBranch":"에스텍 그룹","coPerson":"","coPersonTitle":"","coPersonTel":"","cond":"○ 견적 기준 : {연도}년 최저임금({최저시급}원) 및 통상시급 적용\n    단, 매년 법정최저임금(4대보험 포함) 등 관계법령이 변경될 경우 그 즉시 변경된 내용에 따라 적용합니다.\n○ 납입 조건 : 전자세금계산서 발행(당월 20일 청구, 익월 5일 납입, 현금결제)\n○ 손해배상 : 총 2억원 (당사의 귀책사유로 인한 사고 발생시 손해배상 책임보험에 의거)\n    1) 대인배상 : 1인 2천만원 한도 총 1억원(1사고당), 2) 대물배상 : 1억원한도(사고당)\n○ 상기 금액은 피복, 장비, 복리후생 등 포함한 금액입니다.\n○ 업무 수행에 필요한 근무실, 휴게실, 청소용품(소모품 포함), 집기류, 통신, 식사는 고객사 제공조건"}}</t>
  </si>
  <si>
    <t>STEC-QUOTE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</si>
</sst>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₩ &quot;#,##0"/>
    <numFmt numFmtId="165" formatCode="#,##0.##"/>
    <numFmt numFmtId="166" formatCode="#,##0;-#,##0;&quot;-&quot;"/>
    <numFmt numFmtId="167" formatCode="0.000%"/>
    <numFmt numFmtId="168" formatCode="0.0000%"/>
    <numFmt numFmtId="169" formatCode="0.0#"/>
    <numFmt numFmtId="170" formatCode="0.0%"/>
    <numFmt numFmtId="171" formatCode="0.##"/>
  </numFmts>
  <fonts count="36" x14ac:knownFonts="1">
    <font>
      <color theme="1"/>
      <family val="2"/>
      <scheme val="minor"/>
      <sz val="11"/>
      <name val="Calibri"/>
    </font>
    <font>
      <color rgb="FF5D6784"/>
      <sz val="10"/>
      <name val="맑은 고딕"/>
    </font>
    <font>
      <b/>
      <color rgb="FF1B2A86"/>
      <sz val="15"/>
      <name val="맑은 고딕"/>
    </font>
    <font>
      <b/>
      <color rgb="FF16192A"/>
      <sz val="44"/>
      <name val="맑은 고딕"/>
    </font>
    <font>
      <b/>
      <color rgb="FF1B2A86"/>
      <sz val="10.5"/>
      <name val="맑은 고딕"/>
    </font>
    <font>
      <b/>
      <color rgb="FF1B2A86"/>
      <sz val="9.5"/>
      <name val="맑은 고딕"/>
    </font>
    <font>
      <b/>
      <color rgb="FFFFFFFF"/>
      <sz val="10"/>
      <name val="맑은 고딕"/>
    </font>
    <font>
      <color rgb="FF16192A"/>
      <sz val="10.5"/>
      <name val="맑은 고딕"/>
    </font>
    <font>
      <b/>
      <color rgb="FF14532D"/>
      <sz val="12"/>
      <name val="맑은 고딕"/>
    </font>
    <font>
      <b/>
      <color rgb="FF16192A"/>
      <sz val="16"/>
      <name val="맑은 고딕"/>
    </font>
    <font>
      <color rgb="FF5D6784"/>
      <sz val="8.5"/>
      <name val="맑은 고딕"/>
    </font>
    <font>
      <b/>
      <color rgb="FF1B2A86"/>
      <sz val="30"/>
      <name val="맑은 고딕"/>
    </font>
    <font>
      <color rgb="FF5D6784"/>
      <sz val="9"/>
      <name val="맑은 고딕"/>
    </font>
    <font>
      <color rgb="FF5D6784"/>
      <sz val="8"/>
      <name val="맑은 고딕"/>
    </font>
    <font>
      <b/>
      <sz val="9"/>
      <name val="맑은 고딕"/>
    </font>
    <font>
      <sz val="9"/>
      <name val="맑은 고딕"/>
    </font>
    <font>
      <color rgb="FF111111"/>
      <sz val="10"/>
      <name val="맑은 고딕"/>
    </font>
    <font>
      <color rgb="FFDDE3FF"/>
      <sz val="9"/>
      <name val="맑은 고딕"/>
    </font>
    <font>
      <b/>
      <sz val="9.5"/>
      <name val="맑은 고딕"/>
    </font>
    <font>
      <b/>
      <color rgb="FFFFFFFF"/>
      <sz val="18"/>
      <name val="맑은 고딕"/>
    </font>
    <font>
      <sz val="9.5"/>
      <name val="맑은 고딕"/>
    </font>
    <font>
      <b/>
      <color rgb="FF1B2A86"/>
      <sz val="11"/>
      <name val="맑은 고딕"/>
    </font>
    <font>
      <b/>
      <color rgb="FF1B2A86"/>
      <sz val="10"/>
      <name val="맑은 고딕"/>
    </font>
    <font>
      <b/>
      <color rgb="FFFFFFFF"/>
      <sz val="9.5"/>
      <name val="맑은 고딕"/>
    </font>
    <font>
      <color rgb="FF1B2A86"/>
      <sz val="9.5"/>
      <name val="맑은 고딕"/>
    </font>
    <font>
      <b/>
      <color rgb="FFC8323A"/>
      <sz val="9.5"/>
      <name val="맑은 고딕"/>
    </font>
    <font>
      <b/>
      <sz val="10"/>
      <name val="맑은 고딕"/>
    </font>
    <font>
      <b/>
      <color rgb="FF1B2A86"/>
      <sz val="20"/>
      <name val="맑은 고딕"/>
    </font>
    <font>
      <b/>
      <color rgb="FFFFFFFF"/>
      <sz val="9"/>
      <name val="맑은 고딕"/>
    </font>
    <font>
      <b/>
      <color rgb="FF1B2A86"/>
      <sz val="9"/>
      <name val="맑은 고딕"/>
    </font>
    <font>
      <b/>
      <color rgb="FF3B5BC4"/>
      <sz val="9"/>
      <name val="맑은 고딕"/>
    </font>
    <font>
      <b/>
      <color rgb="FF2B8A3E"/>
      <sz val="9"/>
      <name val="맑은 고딕"/>
    </font>
    <font>
      <b/>
      <color rgb="FFC07A12"/>
      <sz val="9"/>
      <name val="맑은 고딕"/>
    </font>
    <font>
      <b/>
      <color rgb="FF4B5470"/>
      <sz val="9"/>
      <name val="맑은 고딕"/>
    </font>
    <font>
      <color rgb="FFFFFFFF"/>
      <sz val="8.5"/>
      <name val="맑은 고딕"/>
    </font>
    <font>
      <b/>
      <color rgb="FF1B2A86"/>
      <sz val="16"/>
      <name val="맑은 고딕"/>
    </font>
  </fonts>
  <fills count="23">
    <fill>
      <patternFill patternType="none"/>
    </fill>
    <fill>
      <patternFill patternType="gray125"/>
    </fill>
    <fill>
      <patternFill patternType="solid">
        <fgColor rgb="FF1B2A86"/>
      </patternFill>
    </fill>
    <fill>
      <patternFill patternType="solid">
        <fgColor rgb="FF2B8A3E"/>
      </patternFill>
    </fill>
    <fill>
      <patternFill patternType="solid">
        <fgColor rgb="FFF5F7FC"/>
      </patternFill>
    </fill>
    <fill>
      <patternFill patternType="solid">
        <fgColor rgb="FFE3F2E6"/>
      </patternFill>
    </fill>
    <fill>
      <patternFill patternType="solid">
        <fgColor rgb="FFEEF1F7"/>
      </patternFill>
    </fill>
    <fill>
      <patternFill patternType="solid">
        <fgColor rgb="FFDFE1EE"/>
      </patternFill>
    </fill>
    <fill>
      <patternFill patternType="solid">
        <fgColor rgb="FFF8F9FC"/>
      </patternFill>
    </fill>
    <fill>
      <patternFill patternType="solid">
        <fgColor rgb="FFD9E3FA"/>
      </patternFill>
    </fill>
    <fill>
      <patternFill patternType="solid">
        <fgColor rgb="FFF5F8FF"/>
      </patternFill>
    </fill>
    <fill>
      <patternFill patternType="solid">
        <fgColor rgb="FFCDEBD6"/>
      </patternFill>
    </fill>
    <fill>
      <patternFill patternType="solid">
        <fgColor rgb="FF2A3A9C"/>
      </patternFill>
    </fill>
    <fill>
      <patternFill patternType="solid">
        <fgColor rgb="FFFAFBFD"/>
      </patternFill>
    </fill>
    <fill>
      <patternFill patternType="solid">
        <fgColor rgb="FFFFF6D5"/>
      </patternFill>
    </fill>
    <fill>
      <patternFill patternType="solid">
        <fgColor rgb="FFF3FAF5"/>
      </patternFill>
    </fill>
    <fill>
      <patternFill patternType="solid">
        <fgColor rgb="FFBCCBF2"/>
      </patternFill>
    </fill>
    <fill>
      <patternFill patternType="solid">
        <fgColor rgb="FFF8E2B8"/>
      </patternFill>
    </fill>
    <fill>
      <patternFill patternType="solid">
        <fgColor rgb="FFFFF9EE"/>
      </patternFill>
    </fill>
    <fill>
      <patternFill patternType="solid">
        <fgColor rgb="FFDDE1EA"/>
      </patternFill>
    </fill>
    <fill>
      <patternFill patternType="solid">
        <fgColor rgb="FFF6F7FA"/>
      </patternFill>
    </fill>
    <fill>
      <patternFill patternType="solid">
        <fgColor rgb="FFC9CFDC"/>
      </patternFill>
    </fill>
    <fill>
      <patternFill patternType="solid">
        <fgColor rgb="FFF2F4F8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2B8A3E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rgb="FF11111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1B2A86"/>
      </left>
      <right style="thin">
        <color rgb="FF1B2A86"/>
      </right>
      <top style="thin">
        <color rgb="FF1B2A86"/>
      </top>
      <bottom style="thin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thin">
        <color rgb="FF9AA1AD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medium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2B8A3E"/>
      </top>
      <bottom style="medium">
        <color rgb="FF2B8A3E"/>
      </bottom>
      <diagonal/>
    </border>
    <border>
      <left/>
      <right/>
      <top style="medium">
        <color rgb="FF1B2A86"/>
      </top>
      <bottom/>
      <diagonal/>
    </border>
    <border>
      <left style="thin">
        <color rgb="FF41509F"/>
      </left>
      <right style="thin">
        <color rgb="FF41509F"/>
      </right>
      <top style="thin">
        <color rgb="FF41509F"/>
      </top>
      <bottom style="thin">
        <color rgb="FF41509F"/>
      </bottom>
      <diagonal/>
    </border>
    <border>
      <left style="thin">
        <color rgb="FF9AA1AD"/>
      </left>
      <right style="thin">
        <color rgb="FF9AA1AD"/>
      </right>
      <top style="thin">
        <color rgb="FF9AA1AD"/>
      </top>
      <bottom style="medium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medium">
        <color rgb="FF3B5BC4"/>
      </bottom>
      <diagonal/>
    </border>
    <border>
      <left style="thin">
        <color rgb="FF9AA1AD"/>
      </left>
      <right style="thin">
        <color rgb="FF9AA1AD"/>
      </right>
      <top style="medium">
        <color rgb="FF2B8A3E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double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C07A12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C07A12"/>
      </top>
      <bottom style="medium">
        <color rgb="FFC07A12"/>
      </bottom>
      <diagonal/>
    </border>
    <border>
      <left style="thin">
        <color rgb="FF9AA1AD"/>
      </left>
      <right style="thin">
        <color rgb="FF9AA1AD"/>
      </right>
      <top style="medium">
        <color rgb="FF4B5470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4B5470"/>
      </top>
      <bottom style="medium">
        <color rgb="FF4B5470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shrinkToFit="1" indent="1"/>
    </xf>
    <xf numFmtId="0" fontId="6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shrinkToFit="1" inden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right" vertical="bottom"/>
    </xf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center" shrinkToFit="1"/>
    </xf>
    <xf numFmtId="0" fontId="0" fillId="0" borderId="3" xfId="0" applyBorder="1"/>
    <xf numFmtId="0" fontId="14" fillId="6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vertical="center" wrapText="1"/>
    </xf>
    <xf numFmtId="0" fontId="12" fillId="0" borderId="0" xfId="0" applyFont="1"/>
    <xf numFmtId="0" fontId="16" fillId="0" borderId="0" xfId="0" applyFont="1" applyAlignment="1">
      <alignment vertical="center" shrinkToFit="1"/>
    </xf>
    <xf numFmtId="0" fontId="15" fillId="0" borderId="4" xfId="0" applyFont="1" applyBorder="1" applyAlignment="1">
      <alignment vertical="center" shrinkToFit="1"/>
    </xf>
    <xf numFmtId="0" fontId="12" fillId="0" borderId="0" xfId="0" applyFont="1" applyAlignment="1">
      <alignment vertical="center" shrinkToFit="1"/>
    </xf>
    <xf numFmtId="0" fontId="17" fillId="2" borderId="0" xfId="0" applyFont="1" applyFill="1" applyAlignment="1">
      <alignment vertical="bottom" indent="1"/>
    </xf>
    <xf numFmtId="0" fontId="18" fillId="5" borderId="0" xfId="0" applyFont="1" applyFill="1" applyAlignment="1">
      <alignment vertical="center" shrinkToFit="1" indent="1"/>
    </xf>
    <xf numFmtId="164" fontId="19" fillId="2" borderId="0" xfId="0" applyNumberFormat="1" applyFont="1" applyFill="1" applyAlignment="1">
      <alignment vertical="center" shrinkToFit="1" indent="1"/>
    </xf>
    <xf numFmtId="0" fontId="17" fillId="2" borderId="0" xfId="0" applyFont="1" applyFill="1" applyAlignment="1">
      <alignment vertical="center" shrinkToFit="1"/>
    </xf>
    <xf numFmtId="0" fontId="20" fillId="5" borderId="0" xfId="0" applyFont="1" applyFill="1" applyAlignment="1">
      <alignment vertical="center" shrinkToFit="1" indent="1"/>
    </xf>
    <xf numFmtId="0" fontId="21" fillId="0" borderId="0" xfId="0" applyFont="1"/>
    <xf numFmtId="0" fontId="22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right"/>
    </xf>
    <xf numFmtId="0" fontId="23" fillId="2" borderId="5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4" fillId="7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left" vertical="center" shrinkToFit="1"/>
    </xf>
    <xf numFmtId="3" fontId="20" fillId="0" borderId="6" xfId="0" applyNumberFormat="1" applyFont="1" applyBorder="1" applyAlignment="1">
      <alignment horizontal="right" vertical="center"/>
    </xf>
    <xf numFmtId="3" fontId="18" fillId="0" borderId="6" xfId="0" applyNumberFormat="1" applyFont="1" applyBorder="1" applyAlignment="1">
      <alignment horizontal="right" vertical="center"/>
    </xf>
    <xf numFmtId="0" fontId="20" fillId="8" borderId="7" xfId="0" applyFont="1" applyFill="1" applyBorder="1" applyAlignment="1">
      <alignment horizontal="center" vertical="center"/>
    </xf>
    <xf numFmtId="0" fontId="24" fillId="7" borderId="7" xfId="0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20" fillId="8" borderId="7" xfId="0" applyFont="1" applyFill="1" applyBorder="1" applyAlignment="1">
      <alignment horizontal="left" vertical="center" shrinkToFit="1"/>
    </xf>
    <xf numFmtId="3" fontId="20" fillId="8" borderId="7" xfId="0" applyNumberFormat="1" applyFont="1" applyFill="1" applyBorder="1" applyAlignment="1">
      <alignment horizontal="right" vertical="center"/>
    </xf>
    <xf numFmtId="3" fontId="18" fillId="8" borderId="7" xfId="0" applyNumberFormat="1" applyFont="1" applyFill="1" applyBorder="1" applyAlignment="1">
      <alignment horizontal="right" vertical="center"/>
    </xf>
    <xf numFmtId="0" fontId="20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 shrinkToFit="1"/>
    </xf>
    <xf numFmtId="3" fontId="20" fillId="0" borderId="7" xfId="0" applyNumberFormat="1" applyFont="1" applyBorder="1" applyAlignment="1">
      <alignment horizontal="right" vertical="center"/>
    </xf>
    <xf numFmtId="3" fontId="18" fillId="0" borderId="7" xfId="0" applyNumberFormat="1" applyFont="1" applyBorder="1" applyAlignment="1">
      <alignment horizontal="right" vertical="center"/>
    </xf>
    <xf numFmtId="0" fontId="18" fillId="9" borderId="8" xfId="0" applyFont="1" applyFill="1" applyBorder="1" applyAlignment="1">
      <alignment horizontal="center" vertical="center"/>
    </xf>
    <xf numFmtId="3" fontId="18" fillId="9" borderId="8" xfId="0" applyNumberFormat="1" applyFont="1" applyFill="1" applyBorder="1" applyAlignment="1">
      <alignment horizontal="right" vertical="center"/>
    </xf>
    <xf numFmtId="0" fontId="18" fillId="9" borderId="8" xfId="0" applyFont="1" applyFill="1" applyBorder="1" applyAlignment="1">
      <alignment horizontal="right" vertical="center"/>
    </xf>
    <xf numFmtId="0" fontId="18" fillId="9" borderId="8" xfId="0" applyFont="1" applyFill="1" applyBorder="1"/>
    <xf numFmtId="0" fontId="25" fillId="9" borderId="8" xfId="0" applyFont="1" applyFill="1" applyBorder="1" applyAlignment="1">
      <alignment horizontal="center" vertical="center"/>
    </xf>
    <xf numFmtId="0" fontId="20" fillId="10" borderId="7" xfId="0" applyFont="1" applyFill="1" applyBorder="1" applyAlignment="1">
      <alignment horizontal="center" vertical="center"/>
    </xf>
    <xf numFmtId="3" fontId="20" fillId="10" borderId="7" xfId="0" applyNumberFormat="1" applyFont="1" applyFill="1" applyBorder="1" applyAlignment="1">
      <alignment horizontal="right" vertical="center"/>
    </xf>
    <xf numFmtId="0" fontId="20" fillId="10" borderId="7" xfId="0" applyFont="1" applyFill="1" applyBorder="1" applyAlignment="1">
      <alignment horizontal="right" vertical="center"/>
    </xf>
    <xf numFmtId="0" fontId="20" fillId="10" borderId="7" xfId="0" applyFont="1" applyFill="1" applyBorder="1"/>
    <xf numFmtId="0" fontId="26" fillId="11" borderId="9" xfId="0" applyFont="1" applyFill="1" applyBorder="1" applyAlignment="1">
      <alignment horizontal="center" vertical="center"/>
    </xf>
    <xf numFmtId="3" fontId="26" fillId="11" borderId="9" xfId="0" applyNumberFormat="1" applyFont="1" applyFill="1" applyBorder="1" applyAlignment="1">
      <alignment horizontal="right" vertical="center"/>
    </xf>
    <xf numFmtId="0" fontId="26" fillId="11" borderId="9" xfId="0" applyFont="1" applyFill="1" applyBorder="1" applyAlignment="1">
      <alignment horizontal="right" vertical="center"/>
    </xf>
    <xf numFmtId="0" fontId="26" fillId="11" borderId="9" xfId="0" applyFont="1" applyFill="1" applyBorder="1"/>
    <xf numFmtId="0" fontId="6" fillId="2" borderId="8" xfId="0" applyFont="1" applyFill="1" applyBorder="1" applyAlignment="1">
      <alignment horizontal="center" vertical="center"/>
    </xf>
    <xf numFmtId="3" fontId="6" fillId="2" borderId="8" xfId="0" applyNumberFormat="1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right" vertical="center"/>
    </xf>
    <xf numFmtId="0" fontId="6" fillId="2" borderId="8" xfId="0" applyFont="1" applyFill="1" applyBorder="1"/>
    <xf numFmtId="0" fontId="15" fillId="0" borderId="0" xfId="0" applyFont="1" applyAlignment="1">
      <alignment vertical="center" wrapText="1"/>
    </xf>
    <xf numFmtId="0" fontId="0" fillId="0" borderId="10" xfId="0" applyBorder="1"/>
    <xf numFmtId="0" fontId="10" fillId="0" borderId="0" xfId="0" applyFont="1" applyAlignment="1">
      <alignment horizontal="left" vertical="center" wrapText="1" indent="1"/>
    </xf>
    <xf numFmtId="0" fontId="27" fillId="0" borderId="0" xfId="0" applyFont="1" applyAlignment="1">
      <alignment horizontal="center" vertical="center" shrinkToFit="1"/>
    </xf>
    <xf numFmtId="0" fontId="28" fillId="12" borderId="11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29" fillId="13" borderId="6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left" vertical="center"/>
    </xf>
    <xf numFmtId="1" fontId="15" fillId="14" borderId="6" xfId="0" applyNumberFormat="1" applyFont="1" applyFill="1" applyBorder="1"/>
    <xf numFmtId="1" fontId="15" fillId="13" borderId="6" xfId="0" applyNumberFormat="1" applyFont="1" applyFill="1" applyBorder="1"/>
    <xf numFmtId="0" fontId="15" fillId="13" borderId="6" xfId="0" applyFont="1" applyFill="1" applyBorder="1"/>
    <xf numFmtId="0" fontId="10" fillId="13" borderId="6" xfId="0" applyFont="1" applyFill="1" applyBorder="1" applyAlignment="1">
      <alignment vertical="center" shrinkToFit="1"/>
    </xf>
    <xf numFmtId="0" fontId="29" fillId="13" borderId="7" xfId="0" applyFont="1" applyFill="1" applyBorder="1" applyAlignment="1">
      <alignment horizontal="center" vertical="center"/>
    </xf>
    <xf numFmtId="0" fontId="15" fillId="13" borderId="7" xfId="0" applyFont="1" applyFill="1" applyBorder="1" applyAlignment="1">
      <alignment horizontal="left" vertical="center"/>
    </xf>
    <xf numFmtId="165" fontId="15" fillId="14" borderId="7" xfId="0" applyNumberFormat="1" applyFont="1" applyFill="1" applyBorder="1"/>
    <xf numFmtId="0" fontId="15" fillId="13" borderId="7" xfId="0" applyFont="1" applyFill="1" applyBorder="1"/>
    <xf numFmtId="0" fontId="10" fillId="13" borderId="7" xfId="0" applyFont="1" applyFill="1" applyBorder="1" applyAlignment="1">
      <alignment vertical="center" shrinkToFit="1"/>
    </xf>
    <xf numFmtId="9" fontId="15" fillId="14" borderId="7" xfId="0" applyNumberFormat="1" applyFont="1" applyFill="1" applyBorder="1"/>
    <xf numFmtId="1" fontId="15" fillId="14" borderId="7" xfId="0" applyNumberFormat="1" applyFont="1" applyFill="1" applyBorder="1"/>
    <xf numFmtId="0" fontId="29" fillId="13" borderId="12" xfId="0" applyFont="1" applyFill="1" applyBorder="1" applyAlignment="1">
      <alignment horizontal="center" vertical="center"/>
    </xf>
    <xf numFmtId="0" fontId="14" fillId="13" borderId="12" xfId="0" applyFont="1" applyFill="1" applyBorder="1" applyAlignment="1">
      <alignment horizontal="left" vertical="center"/>
    </xf>
    <xf numFmtId="4" fontId="14" fillId="0" borderId="12" xfId="0" applyNumberFormat="1" applyFont="1" applyBorder="1"/>
    <xf numFmtId="0" fontId="14" fillId="13" borderId="12" xfId="0" applyFont="1" applyFill="1" applyBorder="1"/>
    <xf numFmtId="0" fontId="10" fillId="13" borderId="12" xfId="0" applyFont="1" applyFill="1" applyBorder="1" applyAlignment="1">
      <alignment vertical="center" shrinkToFit="1"/>
    </xf>
    <xf numFmtId="0" fontId="30" fillId="9" borderId="13" xfId="0" applyFont="1" applyFill="1" applyBorder="1"/>
    <xf numFmtId="0" fontId="15" fillId="10" borderId="13" xfId="0" applyFont="1" applyFill="1" applyBorder="1" applyAlignment="1">
      <alignment horizontal="left" vertical="center" indent="1"/>
    </xf>
    <xf numFmtId="166" fontId="15" fillId="10" borderId="13" xfId="0" applyNumberFormat="1" applyFont="1" applyFill="1" applyBorder="1"/>
    <xf numFmtId="0" fontId="10" fillId="10" borderId="13" xfId="0" applyFont="1" applyFill="1" applyBorder="1" applyAlignment="1">
      <alignment vertical="center" shrinkToFit="1"/>
    </xf>
    <xf numFmtId="0" fontId="30" fillId="9" borderId="7" xfId="0" applyFont="1" applyFill="1" applyBorder="1"/>
    <xf numFmtId="0" fontId="15" fillId="10" borderId="7" xfId="0" applyFont="1" applyFill="1" applyBorder="1" applyAlignment="1">
      <alignment horizontal="left" vertical="center" indent="1"/>
    </xf>
    <xf numFmtId="166" fontId="15" fillId="10" borderId="7" xfId="0" applyNumberFormat="1" applyFont="1" applyFill="1" applyBorder="1"/>
    <xf numFmtId="0" fontId="10" fillId="10" borderId="7" xfId="0" applyFont="1" applyFill="1" applyBorder="1" applyAlignment="1">
      <alignment vertical="center" shrinkToFit="1"/>
    </xf>
    <xf numFmtId="0" fontId="18" fillId="9" borderId="14" xfId="0" applyFont="1" applyFill="1" applyBorder="1"/>
    <xf numFmtId="166" fontId="18" fillId="9" borderId="14" xfId="0" applyNumberFormat="1" applyFont="1" applyFill="1" applyBorder="1"/>
    <xf numFmtId="0" fontId="10" fillId="9" borderId="14" xfId="0" applyFont="1" applyFill="1" applyBorder="1" applyAlignment="1">
      <alignment vertical="center" shrinkToFit="1"/>
    </xf>
    <xf numFmtId="0" fontId="31" fillId="11" borderId="15" xfId="0" applyFont="1" applyFill="1" applyBorder="1"/>
    <xf numFmtId="0" fontId="15" fillId="15" borderId="15" xfId="0" applyFont="1" applyFill="1" applyBorder="1" applyAlignment="1">
      <alignment horizontal="left" vertical="center" indent="1"/>
    </xf>
    <xf numFmtId="166" fontId="15" fillId="15" borderId="15" xfId="0" applyNumberFormat="1" applyFont="1" applyFill="1" applyBorder="1"/>
    <xf numFmtId="0" fontId="10" fillId="15" borderId="15" xfId="0" applyFont="1" applyFill="1" applyBorder="1" applyAlignment="1">
      <alignment vertical="center" shrinkToFit="1"/>
    </xf>
    <xf numFmtId="0" fontId="31" fillId="11" borderId="7" xfId="0" applyFont="1" applyFill="1" applyBorder="1"/>
    <xf numFmtId="0" fontId="15" fillId="15" borderId="7" xfId="0" applyFont="1" applyFill="1" applyBorder="1" applyAlignment="1">
      <alignment horizontal="left" vertical="center" indent="1"/>
    </xf>
    <xf numFmtId="166" fontId="15" fillId="15" borderId="7" xfId="0" applyNumberFormat="1" applyFont="1" applyFill="1" applyBorder="1"/>
    <xf numFmtId="0" fontId="10" fillId="15" borderId="7" xfId="0" applyFont="1" applyFill="1" applyBorder="1" applyAlignment="1">
      <alignment vertical="center" shrinkToFit="1"/>
    </xf>
    <xf numFmtId="0" fontId="18" fillId="11" borderId="9" xfId="0" applyFont="1" applyFill="1" applyBorder="1"/>
    <xf numFmtId="166" fontId="18" fillId="11" borderId="9" xfId="0" applyNumberFormat="1" applyFont="1" applyFill="1" applyBorder="1"/>
    <xf numFmtId="0" fontId="10" fillId="11" borderId="9" xfId="0" applyFont="1" applyFill="1" applyBorder="1" applyAlignment="1">
      <alignment vertical="center" shrinkToFit="1"/>
    </xf>
    <xf numFmtId="0" fontId="31" fillId="16" borderId="7" xfId="0" applyFont="1" applyFill="1" applyBorder="1"/>
    <xf numFmtId="0" fontId="18" fillId="16" borderId="16" xfId="0" applyFont="1" applyFill="1" applyBorder="1"/>
    <xf numFmtId="166" fontId="18" fillId="16" borderId="16" xfId="0" applyNumberFormat="1" applyFont="1" applyFill="1" applyBorder="1"/>
    <xf numFmtId="0" fontId="10" fillId="16" borderId="16" xfId="0" applyFont="1" applyFill="1" applyBorder="1" applyAlignment="1">
      <alignment vertical="center" shrinkToFit="1"/>
    </xf>
    <xf numFmtId="0" fontId="32" fillId="17" borderId="17" xfId="0" applyFont="1" applyFill="1" applyBorder="1"/>
    <xf numFmtId="0" fontId="15" fillId="18" borderId="17" xfId="0" applyFont="1" applyFill="1" applyBorder="1" applyAlignment="1">
      <alignment horizontal="left" vertical="center" indent="1"/>
    </xf>
    <xf numFmtId="165" fontId="15" fillId="14" borderId="17" xfId="0" applyNumberFormat="1" applyFont="1" applyFill="1" applyBorder="1"/>
    <xf numFmtId="166" fontId="15" fillId="18" borderId="17" xfId="0" applyNumberFormat="1" applyFont="1" applyFill="1" applyBorder="1"/>
    <xf numFmtId="0" fontId="10" fillId="18" borderId="17" xfId="0" applyFont="1" applyFill="1" applyBorder="1" applyAlignment="1">
      <alignment vertical="center" shrinkToFit="1"/>
    </xf>
    <xf numFmtId="0" fontId="32" fillId="17" borderId="7" xfId="0" applyFont="1" applyFill="1" applyBorder="1"/>
    <xf numFmtId="0" fontId="15" fillId="18" borderId="7" xfId="0" applyFont="1" applyFill="1" applyBorder="1" applyAlignment="1">
      <alignment horizontal="left" vertical="center" indent="1"/>
    </xf>
    <xf numFmtId="166" fontId="15" fillId="18" borderId="7" xfId="0" applyNumberFormat="1" applyFont="1" applyFill="1" applyBorder="1"/>
    <xf numFmtId="0" fontId="10" fillId="18" borderId="7" xfId="0" applyFont="1" applyFill="1" applyBorder="1" applyAlignment="1">
      <alignment vertical="center" shrinkToFit="1"/>
    </xf>
    <xf numFmtId="0" fontId="18" fillId="17" borderId="18" xfId="0" applyFont="1" applyFill="1" applyBorder="1"/>
    <xf numFmtId="166" fontId="18" fillId="17" borderId="18" xfId="0" applyNumberFormat="1" applyFont="1" applyFill="1" applyBorder="1"/>
    <xf numFmtId="0" fontId="10" fillId="17" borderId="18" xfId="0" applyFont="1" applyFill="1" applyBorder="1" applyAlignment="1">
      <alignment vertical="center" shrinkToFit="1"/>
    </xf>
    <xf numFmtId="0" fontId="33" fillId="19" borderId="19" xfId="0" applyFont="1" applyFill="1" applyBorder="1"/>
    <xf numFmtId="0" fontId="18" fillId="19" borderId="20" xfId="0" applyFont="1" applyFill="1" applyBorder="1"/>
    <xf numFmtId="166" fontId="18" fillId="19" borderId="20" xfId="0" applyNumberFormat="1" applyFont="1" applyFill="1" applyBorder="1"/>
    <xf numFmtId="0" fontId="10" fillId="19" borderId="20" xfId="0" applyFont="1" applyFill="1" applyBorder="1" applyAlignment="1">
      <alignment vertical="center" shrinkToFit="1"/>
    </xf>
    <xf numFmtId="0" fontId="33" fillId="19" borderId="7" xfId="0" applyFont="1" applyFill="1" applyBorder="1"/>
    <xf numFmtId="0" fontId="15" fillId="20" borderId="7" xfId="0" applyFont="1" applyFill="1" applyBorder="1" applyAlignment="1">
      <alignment horizontal="left" vertical="center" indent="1"/>
    </xf>
    <xf numFmtId="166" fontId="15" fillId="20" borderId="7" xfId="0" applyNumberFormat="1" applyFont="1" applyFill="1" applyBorder="1"/>
    <xf numFmtId="0" fontId="10" fillId="20" borderId="7" xfId="0" applyFont="1" applyFill="1" applyBorder="1" applyAlignment="1">
      <alignment vertical="center" shrinkToFit="1"/>
    </xf>
    <xf numFmtId="0" fontId="33" fillId="21" borderId="7" xfId="0" applyFont="1" applyFill="1" applyBorder="1"/>
    <xf numFmtId="0" fontId="18" fillId="21" borderId="16" xfId="0" applyFont="1" applyFill="1" applyBorder="1"/>
    <xf numFmtId="166" fontId="18" fillId="21" borderId="16" xfId="0" applyNumberFormat="1" applyFont="1" applyFill="1" applyBorder="1"/>
    <xf numFmtId="0" fontId="10" fillId="21" borderId="16" xfId="0" applyFont="1" applyFill="1" applyBorder="1" applyAlignment="1">
      <alignment vertical="center" shrinkToFit="1"/>
    </xf>
    <xf numFmtId="0" fontId="0" fillId="2" borderId="8" xfId="0" applyFill="1" applyBorder="1"/>
    <xf numFmtId="0" fontId="23" fillId="2" borderId="8" xfId="0" applyFont="1" applyFill="1" applyBorder="1"/>
    <xf numFmtId="166" fontId="23" fillId="2" borderId="8" xfId="0" applyNumberFormat="1" applyFont="1" applyFill="1" applyBorder="1"/>
    <xf numFmtId="0" fontId="34" fillId="2" borderId="8" xfId="0" applyFont="1" applyFill="1" applyBorder="1" applyAlignment="1">
      <alignment vertical="center" shrinkToFit="1"/>
    </xf>
    <xf numFmtId="0" fontId="22" fillId="0" borderId="0" xfId="0" applyFont="1"/>
    <xf numFmtId="0" fontId="28" fillId="2" borderId="11" xfId="0" applyFont="1" applyFill="1" applyBorder="1" applyAlignment="1">
      <alignment horizontal="center"/>
    </xf>
    <xf numFmtId="0" fontId="15" fillId="4" borderId="7" xfId="0" applyFont="1" applyFill="1" applyBorder="1"/>
    <xf numFmtId="3" fontId="5" fillId="14" borderId="7" xfId="0" applyNumberFormat="1" applyFont="1" applyFill="1" applyBorder="1" applyAlignment="1">
      <alignment horizontal="right"/>
    </xf>
    <xf numFmtId="0" fontId="10" fillId="0" borderId="0" xfId="0" applyFont="1"/>
    <xf numFmtId="167" fontId="5" fillId="14" borderId="7" xfId="0" applyNumberFormat="1" applyFont="1" applyFill="1" applyBorder="1" applyAlignment="1">
      <alignment horizontal="right"/>
    </xf>
    <xf numFmtId="10" fontId="5" fillId="14" borderId="7" xfId="0" applyNumberFormat="1" applyFont="1" applyFill="1" applyBorder="1" applyAlignment="1">
      <alignment horizontal="right"/>
    </xf>
    <xf numFmtId="168" fontId="5" fillId="14" borderId="7" xfId="0" applyNumberFormat="1" applyFont="1" applyFill="1" applyBorder="1" applyAlignment="1">
      <alignment horizontal="right"/>
    </xf>
    <xf numFmtId="169" fontId="5" fillId="14" borderId="7" xfId="0" applyNumberFormat="1" applyFont="1" applyFill="1" applyBorder="1" applyAlignment="1">
      <alignment horizontal="right"/>
    </xf>
    <xf numFmtId="1" fontId="5" fillId="14" borderId="7" xfId="0" applyNumberFormat="1" applyFont="1" applyFill="1" applyBorder="1" applyAlignment="1">
      <alignment horizontal="right"/>
    </xf>
    <xf numFmtId="170" fontId="5" fillId="14" borderId="7" xfId="0" applyNumberFormat="1" applyFont="1" applyFill="1" applyBorder="1" applyAlignment="1">
      <alignment horizontal="right"/>
    </xf>
    <xf numFmtId="9" fontId="5" fillId="14" borderId="7" xfId="0" applyNumberFormat="1" applyFont="1" applyFill="1" applyBorder="1" applyAlignment="1">
      <alignment horizontal="right"/>
    </xf>
    <xf numFmtId="171" fontId="5" fillId="14" borderId="7" xfId="0" applyNumberFormat="1" applyFont="1" applyFill="1" applyBorder="1" applyAlignment="1">
      <alignment horizontal="right"/>
    </xf>
    <xf numFmtId="1" fontId="5" fillId="4" borderId="7" xfId="0" applyNumberFormat="1" applyFont="1" applyFill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35" fillId="0" borderId="0" xfId="0" applyFont="1" applyAlignment="1">
      <alignment horizontal="center" vertical="center" shrinkToFit="1"/>
    </xf>
    <xf numFmtId="0" fontId="23" fillId="2" borderId="5" xfId="0" applyFont="1" applyFill="1" applyBorder="1" applyAlignment="1">
      <alignment horizontal="center"/>
    </xf>
    <xf numFmtId="0" fontId="14" fillId="22" borderId="7" xfId="0" applyFont="1" applyFill="1" applyBorder="1"/>
    <xf numFmtId="3" fontId="14" fillId="22" borderId="7" xfId="0" applyNumberFormat="1" applyFont="1" applyFill="1" applyBorder="1"/>
    <xf numFmtId="0" fontId="14" fillId="22" borderId="7" xfId="0" applyFont="1" applyFill="1" applyBorder="1" applyAlignment="1">
      <alignment vertical="center" wrapText="1"/>
    </xf>
    <xf numFmtId="165" fontId="15" fillId="10" borderId="13" xfId="0" applyNumberFormat="1" applyFont="1" applyFill="1" applyBorder="1"/>
    <xf numFmtId="165" fontId="18" fillId="9" borderId="14" xfId="0" applyNumberFormat="1" applyFont="1" applyFill="1" applyBorder="1"/>
    <xf numFmtId="165" fontId="23" fillId="2" borderId="8" xfId="0" applyNumberFormat="1" applyFont="1" applyFill="1" applyBorder="1"/>
    <xf numFmtId="170" fontId="15" fillId="10" borderId="13" xfId="0" applyNumberFormat="1" applyFont="1" applyFill="1" applyBorder="1"/>
    <xf numFmtId="170" fontId="18" fillId="9" borderId="14" xfId="0" applyNumberFormat="1" applyFont="1" applyFill="1" applyBorder="1"/>
    <xf numFmtId="170" fontId="23" fillId="2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jpe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24000</xdr:colOff>
      <xdr:row>2</xdr:row>
      <xdr:rowOff>115000</xdr:rowOff>
    </xdr:from>
    <xdr:ext cx="114300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24000</xdr:colOff>
      <xdr:row>9</xdr:row>
      <xdr:rowOff>19999</xdr:rowOff>
    </xdr:from>
    <xdr:ext cx="6515100" cy="434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9333</xdr:colOff>
      <xdr:row>30</xdr:row>
      <xdr:rowOff>17000</xdr:rowOff>
    </xdr:from>
    <xdr:ext cx="600075" cy="819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2666</xdr:colOff>
      <xdr:row>30</xdr:row>
      <xdr:rowOff>17000</xdr:rowOff>
    </xdr:from>
    <xdr:ext cx="600075" cy="819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48000</xdr:colOff>
      <xdr:row>44</xdr:row>
      <xdr:rowOff>40000</xdr:rowOff>
    </xdr:from>
    <xdr:ext cx="1619250" cy="6286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7500</xdr:colOff>
      <xdr:row>0</xdr:row>
      <xdr:rowOff>70000</xdr:rowOff>
    </xdr:from>
    <xdr:ext cx="14287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43055</xdr:colOff>
      <xdr:row>17</xdr:row>
      <xdr:rowOff>87749</xdr:rowOff>
    </xdr:from>
    <xdr:ext cx="542925" cy="7429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77777</xdr:colOff>
      <xdr:row>17</xdr:row>
      <xdr:rowOff>87749</xdr:rowOff>
    </xdr:from>
    <xdr:ext cx="542925" cy="7429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5000</xdr:colOff>
      <xdr:row>45</xdr:row>
      <xdr:rowOff>149999</xdr:rowOff>
    </xdr:from>
    <xdr:ext cx="NaN" cy="NaN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16500</xdr:colOff>
      <xdr:row>0</xdr:row>
      <xdr:rowOff>55000</xdr:rowOff>
    </xdr:from>
    <xdr:ext cx="676275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11000</xdr:colOff>
      <xdr:row>108</xdr:row>
      <xdr:rowOff>17999</xdr:rowOff>
    </xdr:from>
    <xdr:ext cx="NaN" cy="NaN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16500</xdr:colOff>
      <xdr:row>0</xdr:row>
      <xdr:rowOff>55000</xdr:rowOff>
    </xdr:from>
    <xdr:ext cx="857250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  <pageSetUpPr fitToPage="1"/>
  </sheetPr>
  <dimension ref="A1:J49"/>
  <sheetViews>
    <sheetView workbookViewId="0" showGridLines="0"/>
  </sheetViews>
  <sheetFormatPr defaultRowHeight="15" outlineLevelRow="0" outlineLevelCol="0" x14ac:dyDescent="55"/>
  <cols>
    <col min="1" max="10" width="9.6" customWidth="1"/>
  </cols>
  <sheetData>
    <row r="1" ht="10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ht="3" customHeight="1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ht="46" customHeight="1" spans="6:10" x14ac:dyDescent="0.25">
      <c r="F3" s="3" t="s">
        <v>0</v>
      </c>
      <c r="G3" s="3"/>
      <c r="H3" s="3"/>
      <c r="I3" s="3"/>
      <c r="J3" s="3"/>
    </row>
    <row r="4" ht="18" customHeight="1" x14ac:dyDescent="0.25"/>
    <row r="5" ht="28" customHeight="1" spans="1:10" x14ac:dyDescent="0.25">
      <c r="A5" s="4" t="inlineStr">
        <is>
          <t xml:space="preserve">현대자동차 울산공장 정문  보안용역 도급업무</t>
        </is>
      </c>
      <c r="B5" s="4"/>
      <c r="C5" s="4"/>
      <c r="D5" s="4"/>
      <c r="E5" s="4"/>
      <c r="F5" s="4"/>
      <c r="G5" s="4"/>
      <c r="H5" s="4"/>
      <c r="I5" s="4"/>
      <c r="J5" s="4"/>
    </row>
    <row r="6" ht="64" customHeight="1" spans="1:10" x14ac:dyDescent="0.25">
      <c r="A6" s="5" t="s">
        <v>2</v>
      </c>
      <c r="B6" s="5"/>
      <c r="C6" s="5"/>
      <c r="D6" s="5"/>
      <c r="E6" s="5"/>
      <c r="F6" s="5"/>
      <c r="G6" s="5"/>
      <c r="H6" s="5"/>
      <c r="I6" s="5"/>
      <c r="J6" s="5"/>
    </row>
    <row r="7" ht="18" customHeight="1" spans="1:10" x14ac:dyDescent="0.25">
      <c r="A7" s="6" t="inlineStr">
        <is>
          <t xml:space="preserve">2027년 용역 도급 견적서   ·   Q U O T A T I O N</t>
        </is>
      </c>
      <c r="B7" s="6"/>
      <c r="C7" s="6"/>
      <c r="D7" s="6"/>
      <c r="E7" s="6"/>
      <c r="F7" s="6"/>
      <c r="G7" s="6"/>
      <c r="H7" s="6"/>
      <c r="I7" s="6"/>
      <c r="J7" s="6"/>
    </row>
    <row r="8" ht="10" customHeight="1" spans="3:8" x14ac:dyDescent="0.25">
      <c r="C8" s="7"/>
      <c r="D8" s="7"/>
      <c r="E8" s="7"/>
      <c r="F8" s="7"/>
      <c r="G8" s="7"/>
      <c r="H8" s="7"/>
    </row>
    <row r="9" ht="14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10" customHeight="1" x14ac:dyDescent="0.25"/>
    <row r="30" ht="18" customHeight="1" spans="1:10" x14ac:dyDescent="0.25">
      <c r="A30" s="8" t="s">
        <v>4</v>
      </c>
      <c r="B30" s="8"/>
      <c r="C30" s="8"/>
      <c r="D30" s="8"/>
      <c r="E30" s="8"/>
      <c r="F30" s="8"/>
      <c r="G30" s="8"/>
      <c r="H30" s="8"/>
      <c r="I30" s="8"/>
      <c r="J30" s="8"/>
    </row>
    <row r="31" ht="17" customHeight="1" x14ac:dyDescent="0.25"/>
    <row r="32" ht="17" customHeight="1" x14ac:dyDescent="0.25"/>
    <row r="33" ht="17" customHeight="1" x14ac:dyDescent="0.25"/>
    <row r="34" ht="17" customHeight="1" x14ac:dyDescent="0.25"/>
    <row r="35" ht="18" customHeight="1" spans="1:10" x14ac:dyDescent="0.25">
      <c r="A35" s="9" t="str">
        <f>"보안(경비) "&amp;(N('견적서'!F28)+N('견적서'!F29)+N('견적서'!F30))&amp;"명"&amp;" ("&amp;"실장 "&amp;(N('견적서'!F28))&amp;" · "&amp;"팀장 "&amp;(N('견적서'!F29))&amp;" · "&amp;"요원 "&amp;(N('견적서'!F30))&amp;")"</f>
        <v>보안(경비) 13명 (실장 1 · 팀장 3 · 요원 9)</v>
      </c>
      <c r="B35" s="9"/>
      <c r="C35" s="9"/>
      <c r="D35" s="9"/>
      <c r="E35" s="9"/>
      <c r="F35" s="9"/>
      <c r="G35" s="9"/>
      <c r="H35" s="9"/>
      <c r="I35" s="9"/>
      <c r="J35" s="9"/>
    </row>
    <row r="37" ht="22" customHeight="1" spans="2:9" x14ac:dyDescent="0.25">
      <c r="B37" s="10" t="s">
        <v>5</v>
      </c>
      <c r="C37" s="10"/>
      <c r="D37" s="11" t="inlineStr">
        <is>
          <t xml:space="preserve">현대자동차 울산공장 정문 貴中</t>
        </is>
      </c>
      <c r="E37" s="11"/>
      <c r="F37" s="11"/>
      <c r="G37" s="11"/>
      <c r="H37" s="11"/>
      <c r="I37" s="11"/>
    </row>
    <row r="38" ht="22" customHeight="1" spans="2:9" x14ac:dyDescent="0.25">
      <c r="B38" s="10" t="s">
        <v>7</v>
      </c>
      <c r="C38" s="10"/>
      <c r="D38" s="11" t="inlineStr">
        <is>
          <t xml:space="preserve">보안용역 도급업무</t>
        </is>
      </c>
      <c r="E38" s="11"/>
      <c r="F38" s="11"/>
      <c r="G38" s="11"/>
      <c r="H38" s="11"/>
      <c r="I38" s="11"/>
    </row>
    <row r="39" ht="22" customHeight="1" spans="2:9" x14ac:dyDescent="0.25">
      <c r="B39" s="10" t="s">
        <v>9</v>
      </c>
      <c r="C39" s="10"/>
      <c r="D39" s="11" t="inlineStr">
        <is>
          <t xml:space="preserve">2027. 1. 1 ~ 2027. 12. 31 (12개월)</t>
        </is>
      </c>
      <c r="E39" s="11"/>
      <c r="F39" s="11"/>
      <c r="G39" s="11"/>
      <c r="H39" s="11"/>
      <c r="I39" s="11"/>
    </row>
    <row r="40" ht="22" customHeight="1" spans="2:9" x14ac:dyDescent="0.25">
      <c r="B40" s="12" t="s">
        <v>11</v>
      </c>
      <c r="C40" s="12"/>
      <c r="D40" s="13" t="str">
        <f>"월 "&amp;TEXT('견적서'!I31,"#,##0")&amp;"원 (VAT 별도)  ·  "&amp;'견적서'!F31&amp;"명"</f>
        <v>월 56,928,000원 (VAT 별도)  ·  13명</v>
      </c>
      <c r="E40" s="13"/>
      <c r="F40" s="13"/>
      <c r="G40" s="13"/>
      <c r="H40" s="13"/>
      <c r="I40" s="13"/>
    </row>
    <row r="41" ht="22" customHeight="1" spans="2:9" x14ac:dyDescent="0.25">
      <c r="B41" s="10" t="s">
        <v>12</v>
      </c>
      <c r="C41" s="10"/>
      <c r="D41" s="11" t="inlineStr">
        <is>
          <t xml:space="preserve">2027년 최저임금 10,700원 · 4대보험 법정요율</t>
        </is>
      </c>
      <c r="E41" s="11"/>
      <c r="F41" s="11"/>
      <c r="G41" s="11"/>
      <c r="H41" s="11"/>
      <c r="I41" s="11"/>
    </row>
    <row r="43" ht="30" customHeight="1" spans="1:10" x14ac:dyDescent="0.25">
      <c r="A43" s="14" t="inlineStr">
        <is>
          <t xml:space="preserve">2026년  10월</t>
        </is>
      </c>
      <c r="B43" s="14"/>
      <c r="C43" s="14"/>
      <c r="D43" s="14"/>
      <c r="E43" s="14"/>
      <c r="F43" s="14"/>
      <c r="G43" s="14"/>
      <c r="H43" s="14"/>
      <c r="I43" s="14"/>
      <c r="J43" s="14"/>
    </row>
    <row r="45" ht="40" customHeight="1" spans="6:10" x14ac:dyDescent="0.25">
      <c r="F45" s="15" t="s">
        <v>15</v>
      </c>
      <c r="G45" s="15"/>
      <c r="H45" s="15"/>
      <c r="I45" s="15"/>
      <c r="J45" s="15"/>
    </row>
    <row r="46" ht="19.5" customHeight="1" x14ac:dyDescent="0.25"/>
    <row r="47" ht="16" customHeight="1" spans="1:10" x14ac:dyDescent="0.25">
      <c r="A47" s="16" t="s">
        <v>16</v>
      </c>
      <c r="B47" s="16"/>
      <c r="C47" s="16"/>
      <c r="D47" s="16"/>
      <c r="E47" s="16"/>
      <c r="F47" s="16"/>
      <c r="G47" s="16"/>
      <c r="H47" s="16"/>
      <c r="I47" s="16"/>
      <c r="J47" s="16"/>
    </row>
    <row r="48" ht="3" customHeight="1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ht="10" customHeight="1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</sheetData>
  <mergeCells count="19">
    <mergeCell ref="F3:J3"/>
    <mergeCell ref="A5:J5"/>
    <mergeCell ref="A6:J6"/>
    <mergeCell ref="A7:J7"/>
    <mergeCell ref="A30:J30"/>
    <mergeCell ref="A35:J35"/>
    <mergeCell ref="B37:C37"/>
    <mergeCell ref="D37:I37"/>
    <mergeCell ref="B38:C38"/>
    <mergeCell ref="D38:I38"/>
    <mergeCell ref="B39:C39"/>
    <mergeCell ref="D39:I39"/>
    <mergeCell ref="B40:C40"/>
    <mergeCell ref="D40:I40"/>
    <mergeCell ref="B41:C41"/>
    <mergeCell ref="D41:I41"/>
    <mergeCell ref="A43:J43"/>
    <mergeCell ref="F45:J45"/>
    <mergeCell ref="A47:J47"/>
  </mergeCells>
  <printOptions horizontalCentered="1"/>
  <pageMargins left="0.35" right="0.35" top="0.35" bottom="0.35" header="0" footer="0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  <pageSetUpPr fitToPage="1"/>
  </sheetPr>
  <dimension ref="A1:J47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1" customWidth="1"/>
    <col min="4" max="4" width="16" customWidth="1"/>
    <col min="5" max="5" width="18" customWidth="1"/>
    <col min="6" max="6" width="7" customWidth="1"/>
    <col min="7" max="8" width="13" customWidth="1"/>
    <col min="9" max="10" width="15" customWidth="1"/>
  </cols>
  <sheetData>
    <row r="1" ht="28" customHeight="1" spans="4:10" x14ac:dyDescent="0.25">
      <c r="D1" s="17" t="s">
        <v>17</v>
      </c>
      <c r="E1" s="17"/>
      <c r="F1" s="17"/>
      <c r="G1" s="17"/>
      <c r="H1" s="17"/>
      <c r="I1" s="18" t="inlineStr">
        <is>
          <t xml:space="preserve">No. 261021-2703</t>
        </is>
      </c>
      <c r="J1" s="18"/>
    </row>
    <row r="2" ht="28" customHeight="1" spans="4:10" x14ac:dyDescent="0.25">
      <c r="D2" s="17"/>
      <c r="E2" s="17"/>
      <c r="F2" s="17"/>
      <c r="G2" s="17"/>
      <c r="H2" s="17"/>
      <c r="I2" s="19" t="inlineStr">
        <is>
          <t xml:space="preserve">작성일 2026. 10. 21</t>
        </is>
      </c>
      <c r="J2" s="19"/>
    </row>
    <row r="3" ht="14" customHeight="1" spans="4:8" x14ac:dyDescent="0.25">
      <c r="D3" s="20" t="s">
        <v>20</v>
      </c>
      <c r="E3" s="20"/>
      <c r="F3" s="20"/>
      <c r="G3" s="20"/>
      <c r="H3" s="20"/>
    </row>
    <row r="4" ht="5" customHeight="1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ht="2.5" customHeight="1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7" ht="19" customHeight="1" spans="1:10" x14ac:dyDescent="0.25">
      <c r="A7" s="21" t="inlineStr">
        <is>
          <t xml:space="preserve">현대자동차 울산공장 정문  貴中</t>
        </is>
      </c>
      <c r="B7" s="21"/>
      <c r="C7" s="21"/>
      <c r="D7" s="21"/>
      <c r="E7" s="21"/>
      <c r="F7" s="22" t="s">
        <v>22</v>
      </c>
      <c r="G7" s="23" t="s">
        <v>23</v>
      </c>
      <c r="H7" s="23"/>
      <c r="I7" s="23"/>
      <c r="J7" s="23"/>
    </row>
    <row r="8" ht="19" customHeight="1" spans="1:10" x14ac:dyDescent="0.25">
      <c r="A8" s="24" t="s">
        <v>7</v>
      </c>
      <c r="B8" s="24"/>
      <c r="C8" s="25" t="inlineStr">
        <is>
          <t xml:space="preserve">보안용역 도급업무</t>
        </is>
      </c>
      <c r="D8" s="25"/>
      <c r="E8" s="25"/>
      <c r="F8" s="22" t="s">
        <v>24</v>
      </c>
      <c r="G8" s="26" t="s">
        <v>25</v>
      </c>
      <c r="H8" s="22" t="s">
        <v>26</v>
      </c>
      <c r="I8" s="23" t="s">
        <v>27</v>
      </c>
      <c r="J8" s="23"/>
    </row>
    <row r="9" ht="19" customHeight="1" spans="1:10" x14ac:dyDescent="0.25">
      <c r="A9" s="24" t="s">
        <v>9</v>
      </c>
      <c r="B9" s="24"/>
      <c r="C9" s="25" t="inlineStr">
        <is>
          <t xml:space="preserve">2027. 1. 1 ~ 2027. 12. 31 (12개월)</t>
        </is>
      </c>
      <c r="D9" s="25"/>
      <c r="E9" s="25"/>
      <c r="F9" s="22" t="s">
        <v>28</v>
      </c>
      <c r="G9" s="23" t="s">
        <v>29</v>
      </c>
      <c r="H9" s="23"/>
      <c r="I9" s="23"/>
      <c r="J9" s="23"/>
    </row>
    <row r="10" ht="19" customHeight="1" spans="1:10" x14ac:dyDescent="0.25">
      <c r="A10" s="24" t="s">
        <v>30</v>
      </c>
      <c r="B10" s="24"/>
      <c r="C10" s="25" t="inlineStr">
        <is>
          <t xml:space="preserve">작성일로부터 1개월</t>
        </is>
      </c>
      <c r="D10" s="25"/>
      <c r="E10" s="25"/>
      <c r="F10" s="22" t="s">
        <v>32</v>
      </c>
      <c r="G10" s="26" t="s">
        <v>33</v>
      </c>
      <c r="H10" s="22" t="s">
        <v>34</v>
      </c>
      <c r="I10" s="23" t="s">
        <v>35</v>
      </c>
      <c r="J10" s="23"/>
    </row>
    <row r="11" ht="19" customHeight="1" spans="1:10" x14ac:dyDescent="0.25">
      <c r="A11" s="24" t="s">
        <v>36</v>
      </c>
      <c r="B11" s="24"/>
      <c r="C11" s="25" t="inlineStr">
        <is>
          <t xml:space="preserve">울산 북구 염포로 700</t>
        </is>
      </c>
      <c r="D11" s="25"/>
      <c r="E11" s="25"/>
      <c r="F11" s="22" t="s">
        <v>38</v>
      </c>
      <c r="G11" s="23" t="s">
        <v>39</v>
      </c>
      <c r="H11" s="23"/>
      <c r="I11" s="23"/>
      <c r="J11" s="23"/>
    </row>
    <row r="12" ht="19" customHeight="1" spans="1:10" x14ac:dyDescent="0.25">
      <c r="A12" s="27" t="s">
        <v>40</v>
      </c>
      <c r="B12" s="27"/>
      <c r="C12" s="27"/>
      <c r="D12" s="27"/>
      <c r="E12" s="27"/>
      <c r="F12" s="22" t="s">
        <v>41</v>
      </c>
      <c r="G12" s="23" t="s">
        <v>0</v>
      </c>
      <c r="H12" s="23"/>
      <c r="I12" s="23"/>
      <c r="J12" s="23"/>
    </row>
    <row r="14" ht="18" customHeight="1" spans="1:10" x14ac:dyDescent="0.25">
      <c r="A14" s="28" t="s">
        <v>42</v>
      </c>
      <c r="B14" s="28"/>
      <c r="C14" s="28"/>
      <c r="D14" s="28"/>
      <c r="E14" s="28"/>
      <c r="F14" s="28"/>
      <c r="G14" s="29" t="str">
        <f>"부가세 포함 월  "&amp;TEXT(I33,"#,##0")&amp;"원   ·   "&amp;F31&amp;"명 / 평균 "&amp;TEXT(IF(N(F31)=0,0,SUM(I28:I30)/F31),"#,##0")&amp;"원"</f>
        <v>부가세 포함 월  62,620,800원   ·   13명 / 평균 4,379,077원</v>
      </c>
      <c r="H14" s="29"/>
      <c r="I14" s="29"/>
      <c r="J14" s="29"/>
    </row>
    <row r="15" ht="30" customHeight="1" spans="1:10" x14ac:dyDescent="0.25">
      <c r="A15" s="30">
        <f>I31</f>
        <v>56928000</v>
      </c>
      <c r="B15" s="30"/>
      <c r="C15" s="30"/>
      <c r="D15" s="31" t="str">
        <f>"일금 "&amp;IF(ROUND(ABS(N(I31)),0)=0,"영",CHOOSE(VALUE(MID(TEXT(ROUND(ABS(N(I31)),0),"000000000000"),1,1))+1,"","일","이","삼","사","오","육","칠","팔","구")&amp;IF(MID(TEXT(ROUND(ABS(N(I31)),0),"000000000000"),1,1)="0","","천")&amp;CHOOSE(VALUE(MID(TEXT(ROUND(ABS(N(I31)),0),"000000000000"),2,1))+1,"","일","이","삼","사","오","육","칠","팔","구")&amp;IF(MID(TEXT(ROUND(ABS(N(I31)),0),"000000000000"),2,1)="0","","백")&amp;CHOOSE(VALUE(MID(TEXT(ROUND(ABS(N(I31)),0),"000000000000"),3,1))+1,"","일","이","삼","사","오","육","칠","팔","구")&amp;IF(MID(TEXT(ROUND(ABS(N(I31)),0),"000000000000"),3,1)="0","","십")&amp;CHOOSE(VALUE(MID(TEXT(ROUND(ABS(N(I31)),0),"000000000000"),4,1))+1,"","일","이","삼","사","오","육","칠","팔","구")&amp;IF(MID(TEXT(ROUND(ABS(N(I31)),0),"000000000000"),4,1)="0","","")&amp;IF(MID(TEXT(ROUND(ABS(N(I31)),0),"000000000000"),1,4)="0000","","억")&amp;CHOOSE(VALUE(MID(TEXT(ROUND(ABS(N(I31)),0),"000000000000"),5,1))+1,"","일","이","삼","사","오","육","칠","팔","구")&amp;IF(MID(TEXT(ROUND(ABS(N(I31)),0),"000000000000"),5,1)="0","","천")&amp;CHOOSE(VALUE(MID(TEXT(ROUND(ABS(N(I31)),0),"000000000000"),6,1))+1,"","일","이","삼","사","오","육","칠","팔","구")&amp;IF(MID(TEXT(ROUND(ABS(N(I31)),0),"000000000000"),6,1)="0","","백")&amp;CHOOSE(VALUE(MID(TEXT(ROUND(ABS(N(I31)),0),"000000000000"),7,1))+1,"","일","이","삼","사","오","육","칠","팔","구")&amp;IF(MID(TEXT(ROUND(ABS(N(I31)),0),"000000000000"),7,1)="0","","십")&amp;CHOOSE(VALUE(MID(TEXT(ROUND(ABS(N(I31)),0),"000000000000"),8,1))+1,"","일","이","삼","사","오","육","칠","팔","구")&amp;IF(MID(TEXT(ROUND(ABS(N(I31)),0),"000000000000"),8,1)="0","","")&amp;IF(MID(TEXT(ROUND(ABS(N(I31)),0),"000000000000"),5,4)="0000","","만")&amp;CHOOSE(VALUE(MID(TEXT(ROUND(ABS(N(I31)),0),"000000000000"),9,1))+1,"","일","이","삼","사","오","육","칠","팔","구")&amp;IF(MID(TEXT(ROUND(ABS(N(I31)),0),"000000000000"),9,1)="0","","천")&amp;CHOOSE(VALUE(MID(TEXT(ROUND(ABS(N(I31)),0),"000000000000"),10,1))+1,"","일","이","삼","사","오","육","칠","팔","구")&amp;IF(MID(TEXT(ROUND(ABS(N(I31)),0),"000000000000"),10,1)="0","","백")&amp;CHOOSE(VALUE(MID(TEXT(ROUND(ABS(N(I31)),0),"000000000000"),11,1))+1,"","일","이","삼","사","오","육","칠","팔","구")&amp;IF(MID(TEXT(ROUND(ABS(N(I31)),0),"000000000000"),11,1)="0","","십")&amp;CHOOSE(VALUE(MID(TEXT(ROUND(ABS(N(I31)),0),"000000000000"),12,1))+1,"","일","이","삼","사","오","육","칠","팔","구")&amp;IF(MID(TEXT(ROUND(ABS(N(I31)),0),"000000000000"),12,1)="0","",""))&amp;"원정"</f>
        <v>일금 오천육백구십이만팔천원정</v>
      </c>
      <c r="E15" s="31"/>
      <c r="F15" s="31"/>
      <c r="G15" s="32" t="str">
        <f>"계약기간 12개월 총액  "&amp;TEXT(I34,"#,##0")&amp;"원 (VAT 별도)"</f>
        <v>계약기간 12개월 총액  683,136,000원 (VAT 별도)</v>
      </c>
      <c r="H15" s="32"/>
      <c r="I15" s="32"/>
      <c r="J15" s="32"/>
    </row>
    <row r="17" spans="1:1" x14ac:dyDescent="0.25">
      <c r="A17" s="33" t="s">
        <v>43</v>
      </c>
    </row>
    <row r="18" ht="19.5" customHeight="1" x14ac:dyDescent="0.25"/>
    <row r="19" ht="19.5" customHeight="1" x14ac:dyDescent="0.25"/>
    <row r="20" ht="19.5" customHeight="1" x14ac:dyDescent="0.25"/>
    <row r="21" ht="19.5" customHeight="1" x14ac:dyDescent="0.25"/>
    <row r="22" ht="15" customHeight="1" spans="1:3" x14ac:dyDescent="0.25">
      <c r="A22" s="34" t="str">
        <f>"보안(경비)  "&amp;(N(F28)+N(F29)+N(F30))&amp;"명"</f>
        <v>보안(경비)  13명</v>
      </c>
      <c r="B22" s="34"/>
      <c r="C22" s="34"/>
    </row>
    <row r="23" ht="15" customHeight="1" spans="1:3" x14ac:dyDescent="0.25">
      <c r="A23" s="35" t="str">
        <f>"실장 "&amp;(N(F28))&amp;" · "&amp;"팀장 "&amp;(N(F29))&amp;" · "&amp;"요원 "&amp;(N(F30))</f>
        <v>실장 1 · 팀장 3 · 요원 9</v>
      </c>
      <c r="B23" s="35"/>
      <c r="C23" s="35"/>
    </row>
    <row r="24" ht="15" customHeight="1" spans="1:3" x14ac:dyDescent="0.25">
      <c r="A24" s="36" t="str">
        <f>"월 "&amp;TEXT(N(I28)+N(I29)+N(I30),"#,##0")&amp;"원"</f>
        <v>월 56,928,000원</v>
      </c>
      <c r="B24" s="36"/>
      <c r="C24" s="36"/>
    </row>
    <row r="26" spans="1:10" x14ac:dyDescent="0.25">
      <c r="A26" s="33" t="s">
        <v>44</v>
      </c>
      <c r="J26" s="37" t="s">
        <v>45</v>
      </c>
    </row>
    <row r="27" ht="22" customHeight="1" spans="1:10" x14ac:dyDescent="0.25">
      <c r="A27" s="38" t="s">
        <v>46</v>
      </c>
      <c r="B27" s="38" t="s">
        <v>47</v>
      </c>
      <c r="C27" s="38" t="s">
        <v>48</v>
      </c>
      <c r="D27" s="38" t="s">
        <v>49</v>
      </c>
      <c r="E27" s="38" t="s">
        <v>50</v>
      </c>
      <c r="F27" s="38" t="s">
        <v>51</v>
      </c>
      <c r="G27" s="38" t="s">
        <v>39</v>
      </c>
      <c r="H27" s="38" t="s">
        <v>52</v>
      </c>
      <c r="I27" s="38" t="s">
        <v>53</v>
      </c>
      <c r="J27" s="38" t="s">
        <v>54</v>
      </c>
    </row>
    <row r="28" ht="19" customHeight="1" spans="1:10" x14ac:dyDescent="0.25">
      <c r="A28" s="39">
        <v>1</v>
      </c>
      <c r="B28" s="40" t="inlineStr">
        <is>
          <t xml:space="preserve">보안</t>
        </is>
      </c>
      <c r="C28" s="41" t="inlineStr">
        <is>
          <t xml:space="preserve">실장</t>
        </is>
      </c>
      <c r="D28" s="42" t="inlineStr">
        <is>
          <t xml:space="preserve"/>
        </is>
      </c>
      <c r="E28" s="42" t="inlineStr">
        <is>
          <t xml:space="preserve">주간 주5일 (11h·연장3h/일)</t>
        </is>
      </c>
      <c r="F28" s="43">
        <f>'산출내역서'!C10</f>
        <v>1</v>
      </c>
      <c r="G28" s="43"/>
      <c r="H28" s="43">
        <f>'산출내역서'!C67</f>
        <v>4794000</v>
      </c>
      <c r="I28" s="44">
        <f>F28*H28</f>
        <v>4794000</v>
      </c>
      <c r="J28" s="42" t="inlineStr">
        <is>
          <t xml:space="preserve"/>
        </is>
      </c>
    </row>
    <row r="29" ht="19" customHeight="1" spans="1:10" x14ac:dyDescent="0.25">
      <c r="A29" s="45">
        <v>2</v>
      </c>
      <c r="B29" s="46" t="inlineStr">
        <is>
          <t xml:space="preserve">보안</t>
        </is>
      </c>
      <c r="C29" s="47" t="inlineStr">
        <is>
          <t xml:space="preserve">팀장</t>
        </is>
      </c>
      <c r="D29" s="48" t="inlineStr">
        <is>
          <t xml:space="preserve"/>
        </is>
      </c>
      <c r="E29" s="48" t="inlineStr">
        <is>
          <t xml:space="preserve">주간 주5일 (11h·연장3h/일)</t>
        </is>
      </c>
      <c r="F29" s="49">
        <f>'산출내역서'!D10</f>
        <v>3</v>
      </c>
      <c r="G29" s="49"/>
      <c r="H29" s="49">
        <f>'산출내역서'!D67</f>
        <v>4517000</v>
      </c>
      <c r="I29" s="50">
        <f>F29*H29</f>
        <v>13551000</v>
      </c>
      <c r="J29" s="48" t="inlineStr">
        <is>
          <t xml:space="preserve"/>
        </is>
      </c>
    </row>
    <row r="30" ht="19" customHeight="1" spans="1:10" x14ac:dyDescent="0.25">
      <c r="A30" s="51">
        <v>3</v>
      </c>
      <c r="B30" s="46" t="inlineStr">
        <is>
          <t xml:space="preserve">보안</t>
        </is>
      </c>
      <c r="C30" s="52" t="inlineStr">
        <is>
          <t xml:space="preserve">요원</t>
        </is>
      </c>
      <c r="D30" s="53" t="inlineStr">
        <is>
          <t xml:space="preserve"/>
        </is>
      </c>
      <c r="E30" s="53" t="inlineStr">
        <is>
          <t xml:space="preserve">3조2교대 (12h)</t>
        </is>
      </c>
      <c r="F30" s="54">
        <f>'산출내역서'!E10</f>
        <v>9</v>
      </c>
      <c r="G30" s="54"/>
      <c r="H30" s="54">
        <f>'산출내역서'!E67</f>
        <v>4287000</v>
      </c>
      <c r="I30" s="55">
        <f>F30*H30</f>
        <v>38583000</v>
      </c>
      <c r="J30" s="53" t="inlineStr">
        <is>
          <t xml:space="preserve"/>
        </is>
      </c>
    </row>
    <row r="31" ht="22" customHeight="1" spans="1:10" x14ac:dyDescent="0.25">
      <c r="A31" s="56" t="s">
        <v>53</v>
      </c>
      <c r="B31" s="56"/>
      <c r="C31" s="56"/>
      <c r="D31" s="56"/>
      <c r="E31" s="56"/>
      <c r="F31" s="57">
        <f>SUM(F28:F30)</f>
        <v>13</v>
      </c>
      <c r="G31" s="58"/>
      <c r="H31" s="59"/>
      <c r="I31" s="57">
        <f>SUM(I28:I30)</f>
        <v>56928000</v>
      </c>
      <c r="J31" s="60"/>
    </row>
    <row r="32" ht="18" customHeight="1" spans="1:10" x14ac:dyDescent="0.25">
      <c r="A32" s="61" t="s">
        <v>61</v>
      </c>
      <c r="B32" s="61"/>
      <c r="C32" s="61"/>
      <c r="D32" s="61"/>
      <c r="E32" s="61"/>
      <c r="F32" s="62"/>
      <c r="G32" s="63"/>
      <c r="H32" s="64"/>
      <c r="I32" s="62">
        <f>ROUND(I31*0.1,0)</f>
        <v>5692800</v>
      </c>
      <c r="J32" s="61"/>
    </row>
    <row r="33" ht="22" customHeight="1" spans="1:10" x14ac:dyDescent="0.25">
      <c r="A33" s="65" t="s">
        <v>62</v>
      </c>
      <c r="B33" s="65"/>
      <c r="C33" s="65"/>
      <c r="D33" s="65"/>
      <c r="E33" s="65"/>
      <c r="F33" s="66"/>
      <c r="G33" s="67"/>
      <c r="H33" s="68"/>
      <c r="I33" s="66">
        <f>I31+I32</f>
        <v>62620800</v>
      </c>
      <c r="J33" s="65"/>
    </row>
    <row r="34" ht="22" customHeight="1" spans="1:10" x14ac:dyDescent="0.25">
      <c r="A34" s="69" t="s">
        <v>63</v>
      </c>
      <c r="B34" s="69"/>
      <c r="C34" s="69"/>
      <c r="D34" s="69"/>
      <c r="E34" s="69"/>
      <c r="F34" s="70"/>
      <c r="G34" s="71"/>
      <c r="H34" s="72"/>
      <c r="I34" s="70">
        <f>I31*12</f>
        <v>683136000</v>
      </c>
      <c r="J34" s="69"/>
    </row>
    <row r="36" spans="1:1" x14ac:dyDescent="0.25">
      <c r="A36" s="33" t="s">
        <v>64</v>
      </c>
    </row>
    <row r="37" ht="16" customHeight="1" spans="1:10" x14ac:dyDescent="0.25">
      <c r="A37" s="73" t="inlineStr">
        <is>
          <t xml:space="preserve">○ 견적 기준 : 2027년 최저임금(10,700원) 및 통상시급 적용</t>
        </is>
      </c>
      <c r="B37" s="73"/>
      <c r="C37" s="73"/>
      <c r="D37" s="73"/>
      <c r="E37" s="73"/>
      <c r="F37" s="73"/>
      <c r="G37" s="73"/>
      <c r="H37" s="73"/>
      <c r="I37" s="73"/>
      <c r="J37" s="73"/>
    </row>
    <row r="38" ht="16" customHeight="1" spans="1:10" x14ac:dyDescent="0.25">
      <c r="A38" s="73" t="s">
        <v>66</v>
      </c>
      <c r="B38" s="73"/>
      <c r="C38" s="73"/>
      <c r="D38" s="73"/>
      <c r="E38" s="73"/>
      <c r="F38" s="73"/>
      <c r="G38" s="73"/>
      <c r="H38" s="73"/>
      <c r="I38" s="73"/>
      <c r="J38" s="73"/>
    </row>
    <row r="39" ht="16" customHeight="1" spans="1:10" x14ac:dyDescent="0.25">
      <c r="A39" s="73" t="s">
        <v>67</v>
      </c>
      <c r="B39" s="73"/>
      <c r="C39" s="73"/>
      <c r="D39" s="73"/>
      <c r="E39" s="73"/>
      <c r="F39" s="73"/>
      <c r="G39" s="73"/>
      <c r="H39" s="73"/>
      <c r="I39" s="73"/>
      <c r="J39" s="73"/>
    </row>
    <row r="40" ht="16" customHeight="1" spans="1:10" x14ac:dyDescent="0.25">
      <c r="A40" s="73" t="s">
        <v>68</v>
      </c>
      <c r="B40" s="73"/>
      <c r="C40" s="73"/>
      <c r="D40" s="73"/>
      <c r="E40" s="73"/>
      <c r="F40" s="73"/>
      <c r="G40" s="73"/>
      <c r="H40" s="73"/>
      <c r="I40" s="73"/>
      <c r="J40" s="73"/>
    </row>
    <row r="41" ht="16" customHeight="1" spans="1:10" x14ac:dyDescent="0.25">
      <c r="A41" s="73" t="s">
        <v>69</v>
      </c>
      <c r="B41" s="73"/>
      <c r="C41" s="73"/>
      <c r="D41" s="73"/>
      <c r="E41" s="73"/>
      <c r="F41" s="73"/>
      <c r="G41" s="73"/>
      <c r="H41" s="73"/>
      <c r="I41" s="73"/>
      <c r="J41" s="73"/>
    </row>
    <row r="42" ht="16" customHeight="1" spans="1:10" x14ac:dyDescent="0.25">
      <c r="A42" s="73" t="s">
        <v>70</v>
      </c>
      <c r="B42" s="73"/>
      <c r="C42" s="73"/>
      <c r="D42" s="73"/>
      <c r="E42" s="73"/>
      <c r="F42" s="73"/>
      <c r="G42" s="73"/>
      <c r="H42" s="73"/>
      <c r="I42" s="73"/>
      <c r="J42" s="73"/>
    </row>
    <row r="43" ht="16" customHeight="1" spans="1:10" x14ac:dyDescent="0.25">
      <c r="A43" s="73" t="s">
        <v>71</v>
      </c>
      <c r="B43" s="73"/>
      <c r="C43" s="73"/>
      <c r="D43" s="73"/>
      <c r="E43" s="73"/>
      <c r="F43" s="73"/>
      <c r="G43" s="73"/>
      <c r="H43" s="73"/>
      <c r="I43" s="73"/>
      <c r="J43" s="73"/>
    </row>
    <row r="45" spans="1:10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</row>
    <row r="46" ht="50" customHeight="1" spans="3:7" x14ac:dyDescent="0.25">
      <c r="C46" s="75" t="s">
        <v>72</v>
      </c>
      <c r="D46" s="75"/>
      <c r="E46" s="75"/>
      <c r="F46" s="75"/>
      <c r="G46" s="75"/>
    </row>
    <row r="47" ht="14" customHeight="1" x14ac:dyDescent="0.25"/>
  </sheetData>
  <mergeCells count="40">
    <mergeCell ref="D1:H2"/>
    <mergeCell ref="I1:J1"/>
    <mergeCell ref="I2:J2"/>
    <mergeCell ref="D3:H3"/>
    <mergeCell ref="A7:E7"/>
    <mergeCell ref="G7:J7"/>
    <mergeCell ref="A8:B8"/>
    <mergeCell ref="C8:E8"/>
    <mergeCell ref="I8:J8"/>
    <mergeCell ref="A9:B9"/>
    <mergeCell ref="C9:E9"/>
    <mergeCell ref="G9:J9"/>
    <mergeCell ref="A10:B10"/>
    <mergeCell ref="C10:E10"/>
    <mergeCell ref="I10:J10"/>
    <mergeCell ref="A11:B11"/>
    <mergeCell ref="C11:E11"/>
    <mergeCell ref="G11:J11"/>
    <mergeCell ref="A12:E12"/>
    <mergeCell ref="G12:J12"/>
    <mergeCell ref="A14:F14"/>
    <mergeCell ref="G14:J14"/>
    <mergeCell ref="A15:C15"/>
    <mergeCell ref="D15:F15"/>
    <mergeCell ref="G15:J15"/>
    <mergeCell ref="A22:C22"/>
    <mergeCell ref="A23:C23"/>
    <mergeCell ref="A24:C24"/>
    <mergeCell ref="A31:E31"/>
    <mergeCell ref="A32:E32"/>
    <mergeCell ref="A33:E33"/>
    <mergeCell ref="A34:E34"/>
    <mergeCell ref="A37:J37"/>
    <mergeCell ref="A38:J38"/>
    <mergeCell ref="A39:J39"/>
    <mergeCell ref="A40:J40"/>
    <mergeCell ref="A41:J41"/>
    <mergeCell ref="A42:J42"/>
    <mergeCell ref="A43:J43"/>
    <mergeCell ref="C46:G46"/>
  </mergeCells>
  <printOptions horizontalCentered="1"/>
  <pageMargins left="0.4" right="0.4" top="0.5" bottom="0.5" header="0.2" footer="0.2"/>
  <pageSetup paperSize="9" orientation="portrait" horizontalDpi="4294967295" verticalDpi="4294967295" scale="100" fitToWidth="1" fitToHeight="0"/>
  <headerFooter>
    <oddFooter>&amp;L&amp;8㈜에스텍시스템 견적서&amp;R&amp;8&amp;P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</sheetPr>
  <dimension ref="A1:I109"/>
  <sheetViews>
    <sheetView workbookViewId="0" showGridLines="0">
      <pane xSplit="2" ySplit="9" topLeftCell="C10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20" customWidth="1"/>
    <col min="3" max="5" width="13" customWidth="1"/>
    <col min="6" max="6" width="15" customWidth="1"/>
    <col min="7" max="7" width="13" customWidth="1"/>
    <col min="8" max="8" width="16" customWidth="1"/>
    <col min="9" max="9" width="44" customWidth="1"/>
  </cols>
  <sheetData>
    <row r="1" ht="22" customHeight="1" spans="4:9" x14ac:dyDescent="0.25">
      <c r="D1" s="76" t="inlineStr">
        <is>
          <t xml:space="preserve">2027년 현대자동차 울산공장 정문 산출내역서</t>
        </is>
      </c>
      <c r="E1" s="76"/>
      <c r="F1" s="76"/>
      <c r="G1" s="76"/>
      <c r="H1" s="18" t="inlineStr">
        <is>
          <t xml:space="preserve">No. 261021-2703</t>
        </is>
      </c>
      <c r="I1" s="18"/>
    </row>
    <row r="2" ht="22" customHeight="1" spans="4:9" x14ac:dyDescent="0.25">
      <c r="D2" s="76"/>
      <c r="E2" s="76"/>
      <c r="F2" s="76"/>
      <c r="G2" s="76"/>
      <c r="H2" s="19" t="inlineStr">
        <is>
          <t xml:space="preserve">작성일 2026. 10. 21</t>
        </is>
      </c>
      <c r="I2" s="19"/>
    </row>
    <row r="3" ht="14" customHeight="1" spans="4:7" x14ac:dyDescent="0.25">
      <c r="D3" s="20" t="inlineStr">
        <is>
          <t xml:space="preserve">보안용역 도급업무 · 용역기간 2027. 1. 1 ~ 2027. 12. 31 (12개월) · 단위: 원, VAT 별도 · 노란 칸 = 입력값(수정 시 자동 재계산)</t>
        </is>
      </c>
      <c r="E3" s="20"/>
      <c r="F3" s="20"/>
      <c r="G3" s="20"/>
    </row>
    <row r="4" ht="5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2.5" customHeight="1" spans="1:9" x14ac:dyDescent="0.25">
      <c r="A5" s="2"/>
      <c r="B5" s="2"/>
      <c r="C5" s="2"/>
      <c r="D5" s="2"/>
      <c r="E5" s="2"/>
      <c r="F5" s="2"/>
      <c r="G5" s="2"/>
      <c r="H5" s="2"/>
      <c r="I5" s="2"/>
    </row>
    <row r="7" ht="18" customHeight="1" spans="1:9" x14ac:dyDescent="0.25">
      <c r="A7" s="77" t="s">
        <v>75</v>
      </c>
      <c r="B7" s="77"/>
      <c r="C7" s="78" t="inlineStr">
        <is>
          <t xml:space="preserve">보안</t>
        </is>
      </c>
      <c r="D7" s="78" t="inlineStr">
        <is>
          <t xml:space="preserve">보안</t>
        </is>
      </c>
      <c r="E7" s="78" t="inlineStr">
        <is>
          <t xml:space="preserve">보안</t>
        </is>
      </c>
      <c r="F7" s="77" t="s">
        <v>76</v>
      </c>
      <c r="G7" s="77" t="s">
        <v>77</v>
      </c>
      <c r="H7" s="77" t="s">
        <v>78</v>
      </c>
      <c r="I7" s="77" t="s">
        <v>79</v>
      </c>
    </row>
    <row r="8" ht="30" customHeight="1" spans="1:9" x14ac:dyDescent="0.25">
      <c r="A8" s="77"/>
      <c r="B8" s="77"/>
      <c r="C8" s="77" t="inlineStr">
        <is>
          <t xml:space="preserve">실장</t>
        </is>
      </c>
      <c r="D8" s="77" t="inlineStr">
        <is>
          <t xml:space="preserve">팀장</t>
        </is>
      </c>
      <c r="E8" s="77" t="inlineStr">
        <is>
          <t xml:space="preserve">요원</t>
        </is>
      </c>
      <c r="F8" s="77"/>
      <c r="G8" s="77"/>
      <c r="H8" s="77"/>
      <c r="I8" s="77"/>
    </row>
    <row r="9" ht="18" customHeight="1" spans="1:9" x14ac:dyDescent="0.25">
      <c r="A9" s="77"/>
      <c r="B9" s="77"/>
      <c r="C9" s="77" t="inlineStr">
        <is>
          <t xml:space="preserve">주간 주5일</t>
        </is>
      </c>
      <c r="D9" s="77" t="inlineStr">
        <is>
          <t xml:space="preserve">주간 주5일</t>
        </is>
      </c>
      <c r="E9" s="77" t="inlineStr">
        <is>
          <t xml:space="preserve">3조2교대</t>
        </is>
      </c>
      <c r="F9" s="77"/>
      <c r="G9" s="77"/>
      <c r="H9" s="77"/>
      <c r="I9" s="77"/>
    </row>
    <row r="10" ht="16.5" customHeight="1" spans="1:9" x14ac:dyDescent="0.25">
      <c r="A10" s="79" t="s">
        <v>82</v>
      </c>
      <c r="B10" s="80" t="s">
        <v>83</v>
      </c>
      <c r="C10" s="81">
        <v>1</v>
      </c>
      <c r="D10" s="81">
        <v>3</v>
      </c>
      <c r="E10" s="81">
        <v>9</v>
      </c>
      <c r="F10" s="82">
        <f>SUM(C10:E10)</f>
        <v>13</v>
      </c>
      <c r="G10" s="83"/>
      <c r="H10" s="83"/>
      <c r="I10" s="84" t="s">
        <v>84</v>
      </c>
    </row>
    <row r="11" ht="16.5" customHeight="1" spans="1:9" x14ac:dyDescent="0.25">
      <c r="A11" s="85" t="s">
        <v>39</v>
      </c>
      <c r="B11" s="86" t="s">
        <v>85</v>
      </c>
      <c r="C11" s="87">
        <v>10700</v>
      </c>
      <c r="D11" s="87">
        <v>10700</v>
      </c>
      <c r="E11" s="87">
        <v>10700</v>
      </c>
      <c r="F11" s="88"/>
      <c r="G11" s="88"/>
      <c r="H11" s="88"/>
      <c r="I11" s="89" t="s">
        <v>84</v>
      </c>
    </row>
    <row r="12" ht="16.5" customHeight="1" spans="1:9" x14ac:dyDescent="0.25">
      <c r="A12" s="85" t="s">
        <v>39</v>
      </c>
      <c r="B12" s="86" t="s">
        <v>86</v>
      </c>
      <c r="C12" s="87">
        <v>209</v>
      </c>
      <c r="D12" s="87">
        <v>209</v>
      </c>
      <c r="E12" s="87">
        <v>209</v>
      </c>
      <c r="F12" s="88"/>
      <c r="G12" s="88"/>
      <c r="H12" s="88"/>
      <c r="I12" s="89" t="s">
        <v>84</v>
      </c>
    </row>
    <row r="13" ht="16.5" customHeight="1" spans="1:9" x14ac:dyDescent="0.25">
      <c r="A13" s="85" t="s">
        <v>39</v>
      </c>
      <c r="B13" s="86" t="s">
        <v>87</v>
      </c>
      <c r="C13" s="87">
        <v>65</v>
      </c>
      <c r="D13" s="87">
        <v>65</v>
      </c>
      <c r="E13" s="87">
        <v>25</v>
      </c>
      <c r="F13" s="88"/>
      <c r="G13" s="88"/>
      <c r="H13" s="88"/>
      <c r="I13" s="89" t="s">
        <v>84</v>
      </c>
    </row>
    <row r="14" ht="16.5" customHeight="1" spans="1:9" x14ac:dyDescent="0.25">
      <c r="A14" s="85" t="s">
        <v>39</v>
      </c>
      <c r="B14" s="86" t="s">
        <v>88</v>
      </c>
      <c r="C14" s="87">
        <v>0</v>
      </c>
      <c r="D14" s="87">
        <v>0</v>
      </c>
      <c r="E14" s="87">
        <v>82</v>
      </c>
      <c r="F14" s="88"/>
      <c r="G14" s="88"/>
      <c r="H14" s="88"/>
      <c r="I14" s="89" t="s">
        <v>84</v>
      </c>
    </row>
    <row r="15" ht="16.5" customHeight="1" spans="1:9" x14ac:dyDescent="0.25">
      <c r="A15" s="85" t="s">
        <v>39</v>
      </c>
      <c r="B15" s="86" t="s">
        <v>89</v>
      </c>
      <c r="C15" s="87">
        <v>0</v>
      </c>
      <c r="D15" s="87">
        <v>0</v>
      </c>
      <c r="E15" s="87">
        <v>0</v>
      </c>
      <c r="F15" s="88"/>
      <c r="G15" s="88"/>
      <c r="H15" s="88"/>
      <c r="I15" s="89" t="s">
        <v>84</v>
      </c>
    </row>
    <row r="16" ht="16.5" customHeight="1" spans="1:9" x14ac:dyDescent="0.25">
      <c r="A16" s="85" t="s">
        <v>39</v>
      </c>
      <c r="B16" s="86" t="s">
        <v>90</v>
      </c>
      <c r="C16" s="87">
        <v>15</v>
      </c>
      <c r="D16" s="87">
        <v>15</v>
      </c>
      <c r="E16" s="87">
        <v>15</v>
      </c>
      <c r="F16" s="88"/>
      <c r="G16" s="88"/>
      <c r="H16" s="88"/>
      <c r="I16" s="89" t="s">
        <v>84</v>
      </c>
    </row>
    <row r="17" ht="16.5" customHeight="1" spans="1:9" x14ac:dyDescent="0.25">
      <c r="A17" s="85" t="s">
        <v>39</v>
      </c>
      <c r="B17" s="86" t="s">
        <v>91</v>
      </c>
      <c r="C17" s="90">
        <v>0</v>
      </c>
      <c r="D17" s="90">
        <v>0</v>
      </c>
      <c r="E17" s="90">
        <v>0</v>
      </c>
      <c r="F17" s="88"/>
      <c r="G17" s="88"/>
      <c r="H17" s="88"/>
      <c r="I17" s="89" t="s">
        <v>84</v>
      </c>
    </row>
    <row r="18" ht="16.5" customHeight="1" spans="1:9" x14ac:dyDescent="0.25">
      <c r="A18" s="85" t="s">
        <v>39</v>
      </c>
      <c r="B18" s="86" t="s">
        <v>92</v>
      </c>
      <c r="C18" s="91">
        <v>0</v>
      </c>
      <c r="D18" s="91">
        <v>0</v>
      </c>
      <c r="E18" s="91">
        <v>0</v>
      </c>
      <c r="F18" s="88"/>
      <c r="G18" s="88"/>
      <c r="H18" s="88"/>
      <c r="I18" s="89" t="s">
        <v>84</v>
      </c>
    </row>
    <row r="19" ht="16.5" customHeight="1" spans="1:9" x14ac:dyDescent="0.25">
      <c r="A19" s="85" t="s">
        <v>39</v>
      </c>
      <c r="B19" s="86" t="s">
        <v>93</v>
      </c>
      <c r="C19" s="87">
        <v>11</v>
      </c>
      <c r="D19" s="87">
        <v>11</v>
      </c>
      <c r="E19" s="87">
        <v>11</v>
      </c>
      <c r="F19" s="88"/>
      <c r="G19" s="88"/>
      <c r="H19" s="88"/>
      <c r="I19" s="89" t="s">
        <v>84</v>
      </c>
    </row>
    <row r="20" ht="16.5" customHeight="1" spans="1:9" x14ac:dyDescent="0.25">
      <c r="A20" s="85" t="s">
        <v>39</v>
      </c>
      <c r="B20" s="86" t="s">
        <v>94</v>
      </c>
      <c r="C20" s="91">
        <v>1</v>
      </c>
      <c r="D20" s="91">
        <v>1</v>
      </c>
      <c r="E20" s="91">
        <v>1</v>
      </c>
      <c r="F20" s="88"/>
      <c r="G20" s="88"/>
      <c r="H20" s="88"/>
      <c r="I20" s="89" t="s">
        <v>84</v>
      </c>
    </row>
    <row r="21" ht="16.5" customHeight="1" spans="1:9" x14ac:dyDescent="0.25">
      <c r="A21" s="85" t="s">
        <v>39</v>
      </c>
      <c r="B21" s="86" t="s">
        <v>95</v>
      </c>
      <c r="C21" s="91">
        <v>1</v>
      </c>
      <c r="D21" s="91">
        <v>1</v>
      </c>
      <c r="E21" s="91">
        <v>1</v>
      </c>
      <c r="F21" s="88"/>
      <c r="G21" s="88"/>
      <c r="H21" s="88"/>
      <c r="I21" s="89" t="s">
        <v>84</v>
      </c>
    </row>
    <row r="22" ht="16.5" customHeight="1" spans="1:9" x14ac:dyDescent="0.25">
      <c r="A22" s="85" t="s">
        <v>39</v>
      </c>
      <c r="B22" s="86" t="s">
        <v>96</v>
      </c>
      <c r="C22" s="90">
        <v>1</v>
      </c>
      <c r="D22" s="90">
        <v>1</v>
      </c>
      <c r="E22" s="90">
        <v>1</v>
      </c>
      <c r="F22" s="88"/>
      <c r="G22" s="88"/>
      <c r="H22" s="88"/>
      <c r="I22" s="89" t="s">
        <v>84</v>
      </c>
    </row>
    <row r="23" ht="16.5" customHeight="1" spans="1:9" x14ac:dyDescent="0.25">
      <c r="A23" s="85" t="s">
        <v>39</v>
      </c>
      <c r="B23" s="86" t="s">
        <v>97</v>
      </c>
      <c r="C23" s="91">
        <v>0</v>
      </c>
      <c r="D23" s="91">
        <v>0</v>
      </c>
      <c r="E23" s="91">
        <v>1</v>
      </c>
      <c r="F23" s="88"/>
      <c r="G23" s="88"/>
      <c r="H23" s="88"/>
      <c r="I23" s="89" t="s">
        <v>84</v>
      </c>
    </row>
    <row r="24" ht="16.5" customHeight="1" spans="1:9" x14ac:dyDescent="0.25">
      <c r="A24" s="85" t="s">
        <v>39</v>
      </c>
      <c r="B24" s="86" t="s">
        <v>98</v>
      </c>
      <c r="C24" s="91">
        <v>0</v>
      </c>
      <c r="D24" s="91">
        <v>0</v>
      </c>
      <c r="E24" s="91">
        <v>0</v>
      </c>
      <c r="F24" s="88"/>
      <c r="G24" s="88"/>
      <c r="H24" s="88"/>
      <c r="I24" s="89" t="s">
        <v>84</v>
      </c>
    </row>
    <row r="25" ht="16.5" customHeight="1" spans="1:9" x14ac:dyDescent="0.25">
      <c r="A25" s="85" t="s">
        <v>39</v>
      </c>
      <c r="B25" s="86" t="s">
        <v>99</v>
      </c>
      <c r="C25" s="91">
        <v>12</v>
      </c>
      <c r="D25" s="91">
        <v>12</v>
      </c>
      <c r="E25" s="91">
        <v>12</v>
      </c>
      <c r="F25" s="88"/>
      <c r="G25" s="88"/>
      <c r="H25" s="88"/>
      <c r="I25" s="89" t="s">
        <v>84</v>
      </c>
    </row>
    <row r="26" ht="16.5" customHeight="1" spans="1:9" x14ac:dyDescent="0.25">
      <c r="A26" s="92" t="s">
        <v>39</v>
      </c>
      <c r="B26" s="93" t="s">
        <v>100</v>
      </c>
      <c r="C26" s="94">
        <f>IF(C12=0,0,(C27+C30+C34+C32)/C12)</f>
        <v>13092.344497607655</v>
      </c>
      <c r="D26" s="94">
        <f>IF(D12=0,0,(D27+D30+D34+D32)/D12)</f>
        <v>12135.406698564593</v>
      </c>
      <c r="E26" s="94">
        <f>IF(E12=0,0,(E27+E30+E34+E32)/E12)</f>
        <v>11178.468899521531</v>
      </c>
      <c r="F26" s="95"/>
      <c r="G26" s="95"/>
      <c r="H26" s="95"/>
      <c r="I26" s="96" t="s">
        <v>39</v>
      </c>
    </row>
    <row r="27" ht="16.5" customHeight="1" spans="1:9" x14ac:dyDescent="0.25">
      <c r="A27" s="97" t="s">
        <v>101</v>
      </c>
      <c r="B27" s="98" t="s">
        <v>102</v>
      </c>
      <c r="C27" s="99">
        <f>ROUNDUP(C12*C11,-1)</f>
        <v>2236300</v>
      </c>
      <c r="D27" s="99">
        <f>ROUNDUP(D12*D11,-1)</f>
        <v>2236300</v>
      </c>
      <c r="E27" s="99">
        <f>ROUNDUP(E12*E11,-1)</f>
        <v>2236300</v>
      </c>
      <c r="F27" s="99">
        <f>SUMPRODUCT(C27:E27,C10:E10)</f>
        <v>29071900</v>
      </c>
      <c r="G27" s="99">
        <f>IF($C$96=0,0,F27/$C$96)</f>
        <v>2236300</v>
      </c>
      <c r="H27" s="99">
        <f>SUMPRODUCT(C27:E27,C10:E10,C25:E25)</f>
        <v>348862800</v>
      </c>
      <c r="I27" s="100" t="s">
        <v>103</v>
      </c>
    </row>
    <row r="28" ht="16.5" customHeight="1" spans="1:9" x14ac:dyDescent="0.25">
      <c r="A28" s="101" t="s">
        <v>39</v>
      </c>
      <c r="B28" s="102" t="s">
        <v>104</v>
      </c>
      <c r="C28" s="103">
        <f>IF(C13=0,0,ROUNDUP(C13*IF(C20=1,C11*$C$81,C26*$C$80),-1))</f>
        <v>695500</v>
      </c>
      <c r="D28" s="103">
        <f>IF(D13=0,0,ROUNDUP(D13*IF(D20=1,D11*$C$81,D26*$C$80),-1))</f>
        <v>695500</v>
      </c>
      <c r="E28" s="103">
        <f>IF(E13=0,0,ROUNDUP(E13*IF(E20=1,E11*$C$81,E26*$C$80),-1))</f>
        <v>267500</v>
      </c>
      <c r="F28" s="103">
        <f>SUMPRODUCT(C28:E28,C10:E10)</f>
        <v>5189500</v>
      </c>
      <c r="G28" s="103">
        <f>IF($C$96=0,0,F28/$C$96)</f>
        <v>399192.3076923077</v>
      </c>
      <c r="H28" s="103">
        <f>SUMPRODUCT(C28:E28,C10:E10,C25:E25)</f>
        <v>62274000</v>
      </c>
      <c r="I28" s="104" t="s">
        <v>105</v>
      </c>
    </row>
    <row r="29" ht="16.5" customHeight="1" spans="1:9" x14ac:dyDescent="0.25">
      <c r="A29" s="101" t="s">
        <v>39</v>
      </c>
      <c r="B29" s="102" t="s">
        <v>106</v>
      </c>
      <c r="C29" s="103">
        <f>ROUNDUP(C14*$C$82*C26,-1)</f>
        <v>0</v>
      </c>
      <c r="D29" s="103">
        <f>ROUNDUP(D14*$C$82*D26,-1)</f>
        <v>0</v>
      </c>
      <c r="E29" s="103">
        <f>ROUNDUP(E14*$C$82*E26,-1)</f>
        <v>458320</v>
      </c>
      <c r="F29" s="103">
        <f>SUMPRODUCT(C29:E29,C10:E10)</f>
        <v>4124880</v>
      </c>
      <c r="G29" s="103">
        <f>IF($C$96=0,0,F29/$C$96)</f>
        <v>317298.46153846156</v>
      </c>
      <c r="H29" s="103">
        <f>SUMPRODUCT(C29:E29,C10:E10,C25:E25)</f>
        <v>49498560</v>
      </c>
      <c r="I29" s="104" t="s">
        <v>107</v>
      </c>
    </row>
    <row r="30" ht="16.5" customHeight="1" spans="1:9" x14ac:dyDescent="0.25">
      <c r="A30" s="101" t="s">
        <v>39</v>
      </c>
      <c r="B30" s="102" t="s">
        <v>108</v>
      </c>
      <c r="C30" s="87">
        <v>0</v>
      </c>
      <c r="D30" s="87">
        <v>0</v>
      </c>
      <c r="E30" s="87">
        <v>0</v>
      </c>
      <c r="F30" s="103">
        <f>SUMPRODUCT(C30:E30,C10:E10)</f>
        <v>0</v>
      </c>
      <c r="G30" s="103">
        <f>IF($C$96=0,0,F30/$C$96)</f>
        <v>0</v>
      </c>
      <c r="H30" s="103">
        <f>SUMPRODUCT(C30:E30,C10:E10,C25:E25)</f>
        <v>0</v>
      </c>
      <c r="I30" s="104" t="s">
        <v>39</v>
      </c>
    </row>
    <row r="31" ht="16.5" customHeight="1" spans="1:9" x14ac:dyDescent="0.25">
      <c r="A31" s="101" t="s">
        <v>39</v>
      </c>
      <c r="B31" s="102" t="s">
        <v>109</v>
      </c>
      <c r="C31" s="103">
        <f>IF(C15=0,0,ROUNDUP(C11*C15*8*0.5/12,-1))</f>
        <v>0</v>
      </c>
      <c r="D31" s="103">
        <f>IF(D15=0,0,ROUNDUP(D11*D15*8*0.5/12,-1))</f>
        <v>0</v>
      </c>
      <c r="E31" s="103">
        <f>IF(E15=0,0,ROUNDUP(E11*E15*8*0.5/12,-1))</f>
        <v>0</v>
      </c>
      <c r="F31" s="103">
        <f>SUMPRODUCT(C31:E31,C10:E10)</f>
        <v>0</v>
      </c>
      <c r="G31" s="103">
        <f>IF($C$96=0,0,F31/$C$96)</f>
        <v>0</v>
      </c>
      <c r="H31" s="103">
        <f>SUMPRODUCT(C31:E31,C10:E10,C25:E25)</f>
        <v>0</v>
      </c>
      <c r="I31" s="104" t="s">
        <v>110</v>
      </c>
    </row>
    <row r="32" ht="16.5" customHeight="1" spans="1:9" x14ac:dyDescent="0.25">
      <c r="A32" s="101" t="s">
        <v>39</v>
      </c>
      <c r="B32" s="102" t="s">
        <v>111</v>
      </c>
      <c r="C32" s="87">
        <v>500000</v>
      </c>
      <c r="D32" s="87">
        <v>300000</v>
      </c>
      <c r="E32" s="87">
        <v>0</v>
      </c>
      <c r="F32" s="103">
        <f>SUMPRODUCT(C32:E32,C10:E10)</f>
        <v>1400000</v>
      </c>
      <c r="G32" s="103">
        <f>IF($C$96=0,0,F32/$C$96)</f>
        <v>107692.30769230769</v>
      </c>
      <c r="H32" s="103">
        <f>SUMPRODUCT(C32:E32,C10:E10,C25:E25)</f>
        <v>16800000</v>
      </c>
      <c r="I32" s="104" t="s">
        <v>39</v>
      </c>
    </row>
    <row r="33" ht="16.5" customHeight="1" spans="1:9" x14ac:dyDescent="0.25">
      <c r="A33" s="101" t="s">
        <v>39</v>
      </c>
      <c r="B33" s="102" t="s">
        <v>112</v>
      </c>
      <c r="C33" s="87">
        <v>0</v>
      </c>
      <c r="D33" s="87">
        <v>0</v>
      </c>
      <c r="E33" s="87">
        <v>0</v>
      </c>
      <c r="F33" s="103">
        <f>SUMPRODUCT(C33:E33,C10:E10)</f>
        <v>0</v>
      </c>
      <c r="G33" s="103">
        <f>IF($C$96=0,0,F33/$C$96)</f>
        <v>0</v>
      </c>
      <c r="H33" s="103">
        <f>SUMPRODUCT(C33:E33,C10:E10,C25:E25)</f>
        <v>0</v>
      </c>
      <c r="I33" s="104" t="s">
        <v>39</v>
      </c>
    </row>
    <row r="34" ht="16.5" customHeight="1" spans="1:9" x14ac:dyDescent="0.25">
      <c r="A34" s="101" t="s">
        <v>39</v>
      </c>
      <c r="B34" s="102" t="s">
        <v>113</v>
      </c>
      <c r="C34" s="87">
        <v>0</v>
      </c>
      <c r="D34" s="87">
        <v>0</v>
      </c>
      <c r="E34" s="87">
        <v>100000</v>
      </c>
      <c r="F34" s="103">
        <f>SUMPRODUCT(C34:E34,C10:E10)</f>
        <v>900000</v>
      </c>
      <c r="G34" s="103">
        <f>IF($C$96=0,0,F34/$C$96)</f>
        <v>69230.76923076923</v>
      </c>
      <c r="H34" s="103">
        <f>SUMPRODUCT(C34:E34,C10:E10,C25:E25)</f>
        <v>10800000</v>
      </c>
      <c r="I34" s="104" t="s">
        <v>39</v>
      </c>
    </row>
    <row r="35" ht="19" customHeight="1" spans="1:9" x14ac:dyDescent="0.25">
      <c r="A35" s="101" t="s">
        <v>39</v>
      </c>
      <c r="B35" s="105" t="s">
        <v>114</v>
      </c>
      <c r="C35" s="106">
        <f>SUM(C27:C34)</f>
        <v>3431800</v>
      </c>
      <c r="D35" s="106">
        <f>SUM(D27:D34)</f>
        <v>3231800</v>
      </c>
      <c r="E35" s="106">
        <f>SUM(E27:E34)</f>
        <v>3062120</v>
      </c>
      <c r="F35" s="106">
        <f>SUMPRODUCT(C35:E35,C10:E10)</f>
        <v>40686280</v>
      </c>
      <c r="G35" s="106">
        <f>IF($C$96=0,0,F35/$C$96)</f>
        <v>3129713.846153846</v>
      </c>
      <c r="H35" s="106">
        <f>SUMPRODUCT(C35:E35,C10:E10,C25:E25)</f>
        <v>488235360</v>
      </c>
      <c r="I35" s="107" t="s">
        <v>115</v>
      </c>
    </row>
    <row r="36" ht="16.5" customHeight="1" spans="1:9" x14ac:dyDescent="0.25">
      <c r="A36" s="101" t="s">
        <v>39</v>
      </c>
      <c r="B36" s="102" t="s">
        <v>116</v>
      </c>
      <c r="C36" s="103">
        <f>ROUNDUP(C26*$C$83*C16/12,-1)</f>
        <v>130930</v>
      </c>
      <c r="D36" s="103">
        <f>ROUNDUP(D26*$C$83*D16/12,-1)</f>
        <v>121360</v>
      </c>
      <c r="E36" s="103">
        <f>ROUNDUP(E26*$C$83*E16/12,-1)</f>
        <v>111790</v>
      </c>
      <c r="F36" s="103">
        <f>SUMPRODUCT(C36:E36,C10:E10)</f>
        <v>1501120</v>
      </c>
      <c r="G36" s="103">
        <f>IF($C$96=0,0,F36/$C$96)</f>
        <v>115470.76923076923</v>
      </c>
      <c r="H36" s="103">
        <f>SUMPRODUCT(C36:E36,C10:E10,C25:E25)</f>
        <v>18013440</v>
      </c>
      <c r="I36" s="104" t="s">
        <v>117</v>
      </c>
    </row>
    <row r="37" ht="16.5" customHeight="1" spans="1:9" x14ac:dyDescent="0.25">
      <c r="A37" s="101" t="s">
        <v>39</v>
      </c>
      <c r="B37" s="102" t="s">
        <v>118</v>
      </c>
      <c r="C37" s="103">
        <f>ROUNDUP(C19/12*C26,-1)</f>
        <v>12010</v>
      </c>
      <c r="D37" s="103">
        <f>ROUNDUP(D19/12*D26,-1)</f>
        <v>11130</v>
      </c>
      <c r="E37" s="103">
        <f>ROUNDUP(E19/12*E26,-1)</f>
        <v>10250</v>
      </c>
      <c r="F37" s="103">
        <f>SUMPRODUCT(C37:E37,C10:E10)</f>
        <v>137650</v>
      </c>
      <c r="G37" s="103">
        <f>IF($C$96=0,0,F37/$C$96)</f>
        <v>10588.461538461539</v>
      </c>
      <c r="H37" s="103">
        <f>SUMPRODUCT(C37:E37,C10:E10,C25:E25)</f>
        <v>1651800</v>
      </c>
      <c r="I37" s="104" t="s">
        <v>119</v>
      </c>
    </row>
    <row r="38" ht="16.5" customHeight="1" spans="1:9" x14ac:dyDescent="0.25">
      <c r="A38" s="101" t="s">
        <v>39</v>
      </c>
      <c r="B38" s="102" t="s">
        <v>120</v>
      </c>
      <c r="C38" s="103">
        <f>IF(C17=0,0,ROUNDUP(IF(C18=1,C27+C30+C34+C32,C27)*C17/12,-1))</f>
        <v>0</v>
      </c>
      <c r="D38" s="103">
        <f>IF(D17=0,0,ROUNDUP(IF(D18=1,D27+D30+D34+D32,D27)*D17/12,-1))</f>
        <v>0</v>
      </c>
      <c r="E38" s="103">
        <f>IF(E17=0,0,ROUNDUP(IF(E18=1,E27+E30+E34+E32,E27)*E17/12,-1))</f>
        <v>0</v>
      </c>
      <c r="F38" s="103">
        <f>SUMPRODUCT(C38:E38,C10:E10)</f>
        <v>0</v>
      </c>
      <c r="G38" s="103">
        <f>IF($C$96=0,0,F38/$C$96)</f>
        <v>0</v>
      </c>
      <c r="H38" s="103">
        <f>SUMPRODUCT(C38:E38,C10:E10,C25:E25)</f>
        <v>0</v>
      </c>
      <c r="I38" s="104" t="s">
        <v>121</v>
      </c>
    </row>
    <row r="39" ht="16.5" customHeight="1" spans="1:9" x14ac:dyDescent="0.25">
      <c r="A39" s="101" t="s">
        <v>39</v>
      </c>
      <c r="B39" s="102" t="s">
        <v>122</v>
      </c>
      <c r="C39" s="103">
        <f>IF(C21=1,ROUNDUP((C35+C36+C37+C38)/12,-1),0)</f>
        <v>297900</v>
      </c>
      <c r="D39" s="103">
        <f>IF(D21=1,ROUNDUP((D35+D36+D37+D38)/12,-1),0)</f>
        <v>280360</v>
      </c>
      <c r="E39" s="103">
        <f>IF(E21=1,ROUNDUP((E35+E36+E37+E38)/12,-1),0)</f>
        <v>265350</v>
      </c>
      <c r="F39" s="103">
        <f>SUMPRODUCT(C39:E39,C10:E10)</f>
        <v>3527130</v>
      </c>
      <c r="G39" s="103">
        <f>IF($C$96=0,0,F39/$C$96)</f>
        <v>271317.6923076923</v>
      </c>
      <c r="H39" s="103">
        <f>SUMPRODUCT(C39:E39,C10:E10,C25:E25)</f>
        <v>42325560</v>
      </c>
      <c r="I39" s="104" t="s">
        <v>123</v>
      </c>
    </row>
    <row r="40" ht="19" customHeight="1" spans="1:9" x14ac:dyDescent="0.25">
      <c r="A40" s="101" t="s">
        <v>39</v>
      </c>
      <c r="B40" s="105" t="s">
        <v>124</v>
      </c>
      <c r="C40" s="106">
        <f>C35+C36+C37+C38+C39</f>
        <v>3872640</v>
      </c>
      <c r="D40" s="106">
        <f>D35+D36+D37+D38+D39</f>
        <v>3644650</v>
      </c>
      <c r="E40" s="106">
        <f>E35+E36+E37+E38+E39</f>
        <v>3449510</v>
      </c>
      <c r="F40" s="106">
        <f>SUMPRODUCT(C40:E40,C10:E10)</f>
        <v>45852180</v>
      </c>
      <c r="G40" s="106">
        <f>IF($C$96=0,0,F40/$C$96)</f>
        <v>3527090.769230769</v>
      </c>
      <c r="H40" s="106">
        <f>SUMPRODUCT(C40:E40,C10:E10,C25:E25)</f>
        <v>550226160</v>
      </c>
      <c r="I40" s="107" t="s">
        <v>125</v>
      </c>
    </row>
    <row r="41" ht="16.5" customHeight="1" spans="1:9" x14ac:dyDescent="0.25">
      <c r="A41" s="108" t="s">
        <v>126</v>
      </c>
      <c r="B41" s="109" t="s">
        <v>127</v>
      </c>
      <c r="C41" s="110">
        <f>ROUNDUP((C40-C39-C33)*$C$73,-1)</f>
        <v>128520</v>
      </c>
      <c r="D41" s="110">
        <f>ROUNDUP((D40-D39-D33)*$C$73,-1)</f>
        <v>120950</v>
      </c>
      <c r="E41" s="110">
        <f>ROUNDUP((E40-E39-E33)*$C$73,-1)</f>
        <v>114480</v>
      </c>
      <c r="F41" s="110">
        <f>SUMPRODUCT(C41:E41,C10:E10)</f>
        <v>1521690</v>
      </c>
      <c r="G41" s="110">
        <f>IF($C$96=0,0,F41/$C$96)</f>
        <v>117053.07692307692</v>
      </c>
      <c r="H41" s="110">
        <f>SUMPRODUCT(C41:E41,C10:E10,C25:E25)</f>
        <v>18260280</v>
      </c>
      <c r="I41" s="111" t="s">
        <v>128</v>
      </c>
    </row>
    <row r="42" ht="16.5" customHeight="1" spans="1:9" x14ac:dyDescent="0.25">
      <c r="A42" s="112" t="s">
        <v>39</v>
      </c>
      <c r="B42" s="113" t="s">
        <v>129</v>
      </c>
      <c r="C42" s="114">
        <f>ROUNDUP(C41*$C$74,-1)</f>
        <v>16890</v>
      </c>
      <c r="D42" s="114">
        <f>ROUNDUP(D41*$C$74,-1)</f>
        <v>15900</v>
      </c>
      <c r="E42" s="114">
        <f>ROUNDUP(E41*$C$74,-1)</f>
        <v>15050</v>
      </c>
      <c r="F42" s="114">
        <f>SUMPRODUCT(C42:E42,C10:E10)</f>
        <v>200040</v>
      </c>
      <c r="G42" s="114">
        <f>IF($C$96=0,0,F42/$C$96)</f>
        <v>15387.692307692309</v>
      </c>
      <c r="H42" s="114">
        <f>SUMPRODUCT(C42:E42,C10:E10,C25:E25)</f>
        <v>2400480</v>
      </c>
      <c r="I42" s="115" t="s">
        <v>130</v>
      </c>
    </row>
    <row r="43" ht="16.5" customHeight="1" spans="1:9" x14ac:dyDescent="0.25">
      <c r="A43" s="112" t="s">
        <v>39</v>
      </c>
      <c r="B43" s="113" t="s">
        <v>131</v>
      </c>
      <c r="C43" s="114">
        <f>ROUNDUP((C40-C39-C33)*$C$75*C22,-1)</f>
        <v>178740</v>
      </c>
      <c r="D43" s="114">
        <f>ROUNDUP((D40-D39-D33)*$C$75*D22,-1)</f>
        <v>168220</v>
      </c>
      <c r="E43" s="114">
        <f>ROUNDUP((E40-E39-E33)*$C$75*E22,-1)</f>
        <v>159210</v>
      </c>
      <c r="F43" s="114">
        <f>SUMPRODUCT(C43:E43,C10:E10)</f>
        <v>2116290</v>
      </c>
      <c r="G43" s="114">
        <f>IF($C$96=0,0,F43/$C$96)</f>
        <v>162791.53846153847</v>
      </c>
      <c r="H43" s="114">
        <f>SUMPRODUCT(C43:E43,C10:E10,C25:E25)</f>
        <v>25395480</v>
      </c>
      <c r="I43" s="115" t="s">
        <v>132</v>
      </c>
    </row>
    <row r="44" ht="16.5" customHeight="1" spans="1:9" x14ac:dyDescent="0.25">
      <c r="A44" s="112" t="s">
        <v>39</v>
      </c>
      <c r="B44" s="113" t="s">
        <v>133</v>
      </c>
      <c r="C44" s="114">
        <f>ROUNDUP((C40-C39-C33)*$C$76,-1)</f>
        <v>66140</v>
      </c>
      <c r="D44" s="114">
        <f>ROUNDUP((D40-D39-D33)*$C$76,-1)</f>
        <v>62240</v>
      </c>
      <c r="E44" s="114">
        <f>ROUNDUP((E40-E39-E33)*$C$76,-1)</f>
        <v>58910</v>
      </c>
      <c r="F44" s="114">
        <f>SUMPRODUCT(C44:E44,C10:E10)</f>
        <v>783050</v>
      </c>
      <c r="G44" s="114">
        <f>IF($C$96=0,0,F44/$C$96)</f>
        <v>60234.61538461538</v>
      </c>
      <c r="H44" s="114">
        <f>SUMPRODUCT(C44:E44,C10:E10,C25:E25)</f>
        <v>9396600</v>
      </c>
      <c r="I44" s="115" t="s">
        <v>134</v>
      </c>
    </row>
    <row r="45" ht="16.5" customHeight="1" spans="1:9" x14ac:dyDescent="0.25">
      <c r="A45" s="112" t="s">
        <v>39</v>
      </c>
      <c r="B45" s="113" t="s">
        <v>135</v>
      </c>
      <c r="C45" s="114">
        <f>ROUNDUP((C40-C39-C33)*$C$77,-1)</f>
        <v>30750</v>
      </c>
      <c r="D45" s="114">
        <f>ROUNDUP((D40-D39-D33)*$C$77,-1)</f>
        <v>28940</v>
      </c>
      <c r="E45" s="114">
        <f>ROUNDUP((E40-E39-E33)*$C$77,-1)</f>
        <v>27390</v>
      </c>
      <c r="F45" s="114">
        <f>SUMPRODUCT(C45:E45,C10:E10)</f>
        <v>364080</v>
      </c>
      <c r="G45" s="114">
        <f>IF($C$96=0,0,F45/$C$96)</f>
        <v>28006.153846153848</v>
      </c>
      <c r="H45" s="114">
        <f>SUMPRODUCT(C45:E45,C10:E10,C25:E25)</f>
        <v>4368960</v>
      </c>
      <c r="I45" s="115" t="s">
        <v>136</v>
      </c>
    </row>
    <row r="46" ht="16.5" customHeight="1" spans="1:9" x14ac:dyDescent="0.25">
      <c r="A46" s="112" t="s">
        <v>39</v>
      </c>
      <c r="B46" s="113" t="s">
        <v>137</v>
      </c>
      <c r="C46" s="114">
        <f>ROUNDUP((C40-C39-C33)*$C$78,-1)</f>
        <v>3220</v>
      </c>
      <c r="D46" s="114">
        <f>ROUNDUP((D40-D39-D33)*$C$78,-1)</f>
        <v>3030</v>
      </c>
      <c r="E46" s="114">
        <f>ROUNDUP((E40-E39-E33)*$C$78,-1)</f>
        <v>2870</v>
      </c>
      <c r="F46" s="114">
        <f>SUMPRODUCT(C46:E46,C10:E10)</f>
        <v>38140</v>
      </c>
      <c r="G46" s="114">
        <f>IF($C$96=0,0,F46/$C$96)</f>
        <v>2933.846153846154</v>
      </c>
      <c r="H46" s="114">
        <f>SUMPRODUCT(C46:E46,C10:E10,C25:E25)</f>
        <v>457680</v>
      </c>
      <c r="I46" s="115" t="s">
        <v>138</v>
      </c>
    </row>
    <row r="47" ht="16.5" customHeight="1" spans="1:9" x14ac:dyDescent="0.25">
      <c r="A47" s="112" t="s">
        <v>39</v>
      </c>
      <c r="B47" s="113" t="s">
        <v>139</v>
      </c>
      <c r="C47" s="114">
        <f>IF($C$79=0,0,ROUNDUP((C40-C39-C33)*$C$79,-1))</f>
        <v>220</v>
      </c>
      <c r="D47" s="114">
        <f>IF($C$79=0,0,ROUNDUP((D40-D39-D33)*$C$79,-1))</f>
        <v>210</v>
      </c>
      <c r="E47" s="114">
        <f>IF($C$79=0,0,ROUNDUP((E40-E39-E33)*$C$79,-1))</f>
        <v>200</v>
      </c>
      <c r="F47" s="114">
        <f>SUMPRODUCT(C47:E47,C10:E10)</f>
        <v>2650</v>
      </c>
      <c r="G47" s="114">
        <f>IF($C$96=0,0,F47/$C$96)</f>
        <v>203.84615384615384</v>
      </c>
      <c r="H47" s="114">
        <f>SUMPRODUCT(C47:E47,C10:E10,C25:E25)</f>
        <v>31800</v>
      </c>
      <c r="I47" s="115" t="s">
        <v>140</v>
      </c>
    </row>
    <row r="48" ht="16.5" customHeight="1" spans="1:9" x14ac:dyDescent="0.25">
      <c r="A48" s="112" t="s">
        <v>39</v>
      </c>
      <c r="B48" s="113" t="s">
        <v>141</v>
      </c>
      <c r="C48" s="114">
        <f>IF(C23=1,ROUNDUP($C$84/12,-1),0)</f>
        <v>0</v>
      </c>
      <c r="D48" s="114">
        <f>IF(D23=1,ROUNDUP($C$84/12,-1),0)</f>
        <v>0</v>
      </c>
      <c r="E48" s="114">
        <f>IF(E23=1,ROUNDUP($C$84/12,-1),0)</f>
        <v>6670</v>
      </c>
      <c r="F48" s="114">
        <f>SUMPRODUCT(C48:E48,C10:E10)</f>
        <v>60030</v>
      </c>
      <c r="G48" s="114">
        <f>IF($C$96=0,0,F48/$C$96)</f>
        <v>4617.692307692308</v>
      </c>
      <c r="H48" s="114">
        <f>SUMPRODUCT(C48:E48,C10:E10,C25:E25)</f>
        <v>720360</v>
      </c>
      <c r="I48" s="115" t="s">
        <v>142</v>
      </c>
    </row>
    <row r="49" ht="16.5" customHeight="1" spans="1:9" x14ac:dyDescent="0.25">
      <c r="A49" s="112" t="s">
        <v>39</v>
      </c>
      <c r="B49" s="113" t="s">
        <v>143</v>
      </c>
      <c r="C49" s="114">
        <f>IF($C$85=1,ROUNDUP($C$86*$C$87*$C$88,-1),0)</f>
        <v>42160</v>
      </c>
      <c r="D49" s="114">
        <f>IF($C$85=1,ROUNDUP($C$86*$C$87*$C$88,-1),0)</f>
        <v>42160</v>
      </c>
      <c r="E49" s="114">
        <f>IF($C$85=1,ROUNDUP($C$86*$C$87*$C$88,-1),0)</f>
        <v>42160</v>
      </c>
      <c r="F49" s="114">
        <f>SUMPRODUCT(C49:E49,C10:E10)</f>
        <v>548080</v>
      </c>
      <c r="G49" s="114">
        <f>IF($C$96=0,0,F49/$C$96)</f>
        <v>42160</v>
      </c>
      <c r="H49" s="114">
        <f>SUMPRODUCT(C49:E49,C10:E10,C25:E25)</f>
        <v>6576960</v>
      </c>
      <c r="I49" s="115" t="s">
        <v>144</v>
      </c>
    </row>
    <row r="50" ht="19" customHeight="1" spans="1:9" x14ac:dyDescent="0.25">
      <c r="A50" s="112" t="s">
        <v>39</v>
      </c>
      <c r="B50" s="116" t="s">
        <v>145</v>
      </c>
      <c r="C50" s="117">
        <f>SUM(C41:C49)</f>
        <v>466640</v>
      </c>
      <c r="D50" s="117">
        <f>SUM(D41:D49)</f>
        <v>441650</v>
      </c>
      <c r="E50" s="117">
        <f>SUM(E41:E49)</f>
        <v>426940</v>
      </c>
      <c r="F50" s="117">
        <f>SUMPRODUCT(C50:E50,C10:E10)</f>
        <v>5634050</v>
      </c>
      <c r="G50" s="117">
        <f>IF($C$96=0,0,F50/$C$96)</f>
        <v>433388.46153846156</v>
      </c>
      <c r="H50" s="117">
        <f>SUMPRODUCT(C50:E50,C10:E10,C25:E25)</f>
        <v>67608600</v>
      </c>
      <c r="I50" s="118" t="s">
        <v>146</v>
      </c>
    </row>
    <row r="51" ht="19" customHeight="1" spans="1:9" x14ac:dyDescent="0.25">
      <c r="A51" s="119" t="s">
        <v>39</v>
      </c>
      <c r="B51" s="120" t="s">
        <v>147</v>
      </c>
      <c r="C51" s="121">
        <f>C40+C50</f>
        <v>4339280</v>
      </c>
      <c r="D51" s="121">
        <f>D40+D50</f>
        <v>4086300</v>
      </c>
      <c r="E51" s="121">
        <f>E40+E50</f>
        <v>3876450</v>
      </c>
      <c r="F51" s="121">
        <f>SUMPRODUCT(C51:E51,C10:E10)</f>
        <v>51486230</v>
      </c>
      <c r="G51" s="121">
        <f>IF($C$96=0,0,F51/$C$96)</f>
        <v>3960479.230769231</v>
      </c>
      <c r="H51" s="121">
        <f>SUMPRODUCT(C51:E51,C10:E10,C25:E25)</f>
        <v>617834760</v>
      </c>
      <c r="I51" s="122" t="s">
        <v>148</v>
      </c>
    </row>
    <row r="52" ht="16.5" customHeight="1" spans="1:9" x14ac:dyDescent="0.25">
      <c r="A52" s="123" t="s">
        <v>149</v>
      </c>
      <c r="B52" s="124" t="s">
        <v>150</v>
      </c>
      <c r="C52" s="125">
        <v>30000</v>
      </c>
      <c r="D52" s="125">
        <v>30000</v>
      </c>
      <c r="E52" s="125">
        <v>30000</v>
      </c>
      <c r="F52" s="126">
        <f>SUMPRODUCT(C52:E52,C10:E10)</f>
        <v>390000</v>
      </c>
      <c r="G52" s="126">
        <f>IF($C$96=0,0,F52/$C$96)</f>
        <v>30000</v>
      </c>
      <c r="H52" s="126">
        <f>SUMPRODUCT(C52:E52,C10:E10,C25:E25)</f>
        <v>4680000</v>
      </c>
      <c r="I52" s="127" t="s">
        <v>39</v>
      </c>
    </row>
    <row r="53" ht="16.5" customHeight="1" spans="1:9" x14ac:dyDescent="0.25">
      <c r="A53" s="128" t="s">
        <v>39</v>
      </c>
      <c r="B53" s="129" t="s">
        <v>151</v>
      </c>
      <c r="C53" s="130">
        <f>IF($C$89=0,0,ROUNDUP($C$89/12,-1))</f>
        <v>8340</v>
      </c>
      <c r="D53" s="130">
        <f>IF($C$89=0,0,ROUNDUP($C$89/12,-1))</f>
        <v>8340</v>
      </c>
      <c r="E53" s="130">
        <f>IF($C$89=0,0,ROUNDUP($C$89/12,-1))</f>
        <v>8340</v>
      </c>
      <c r="F53" s="130">
        <f>SUMPRODUCT(C53:E53,C10:E10)</f>
        <v>108420</v>
      </c>
      <c r="G53" s="130">
        <f>IF($C$96=0,0,F53/$C$96)</f>
        <v>8340</v>
      </c>
      <c r="H53" s="130">
        <f>SUMPRODUCT(C53:E53,C10:E10,C25:E25)</f>
        <v>1301040</v>
      </c>
      <c r="I53" s="131" t="s">
        <v>152</v>
      </c>
    </row>
    <row r="54" ht="16.5" customHeight="1" spans="1:9" x14ac:dyDescent="0.25">
      <c r="A54" s="128" t="s">
        <v>39</v>
      </c>
      <c r="B54" s="129" t="s">
        <v>153</v>
      </c>
      <c r="C54" s="130">
        <f>$C$90</f>
        <v>10000</v>
      </c>
      <c r="D54" s="130">
        <f>$C$90</f>
        <v>10000</v>
      </c>
      <c r="E54" s="130">
        <f>$C$90</f>
        <v>10000</v>
      </c>
      <c r="F54" s="130">
        <f>SUMPRODUCT(C54:E54,C10:E10)</f>
        <v>130000</v>
      </c>
      <c r="G54" s="130">
        <f>IF($C$96=0,0,F54/$C$96)</f>
        <v>10000</v>
      </c>
      <c r="H54" s="130">
        <f>SUMPRODUCT(C54:E54,C10:E10,C25:E25)</f>
        <v>1560000</v>
      </c>
      <c r="I54" s="131" t="s">
        <v>39</v>
      </c>
    </row>
    <row r="55" ht="16.5" customHeight="1" spans="1:9" x14ac:dyDescent="0.25">
      <c r="A55" s="128" t="s">
        <v>39</v>
      </c>
      <c r="B55" s="129" t="s">
        <v>154</v>
      </c>
      <c r="C55" s="130">
        <f>$C$91</f>
        <v>4000</v>
      </c>
      <c r="D55" s="130">
        <f>$C$91</f>
        <v>4000</v>
      </c>
      <c r="E55" s="130">
        <f>$C$91</f>
        <v>4000</v>
      </c>
      <c r="F55" s="130">
        <f>SUMPRODUCT(C55:E55,C10:E10)</f>
        <v>52000</v>
      </c>
      <c r="G55" s="130">
        <f>IF($C$96=0,0,F55/$C$96)</f>
        <v>4000</v>
      </c>
      <c r="H55" s="130">
        <f>SUMPRODUCT(C55:E55,C10:E10,C25:E25)</f>
        <v>624000</v>
      </c>
      <c r="I55" s="131" t="s">
        <v>39</v>
      </c>
    </row>
    <row r="56" ht="16.5" customHeight="1" spans="1:9" x14ac:dyDescent="0.25">
      <c r="A56" s="128" t="s">
        <v>39</v>
      </c>
      <c r="B56" s="129" t="s">
        <v>155</v>
      </c>
      <c r="C56" s="130">
        <f>C26*$C$92*$C$93/12</f>
        <v>23566.220095693778</v>
      </c>
      <c r="D56" s="130">
        <f>D26*$C$92*$C$93/12</f>
        <v>21843.73205741627</v>
      </c>
      <c r="E56" s="130">
        <f>E26*$C$92*$C$93/12</f>
        <v>20121.244019138754</v>
      </c>
      <c r="F56" s="130">
        <f>SUMPRODUCT(C56:E56,C10:E10)</f>
        <v>270188.6124401913</v>
      </c>
      <c r="G56" s="130">
        <f>IF($C$96=0,0,F56/$C$96)</f>
        <v>20783.739418476256</v>
      </c>
      <c r="H56" s="130">
        <f>SUMPRODUCT(C56:E56,C10:E10,C25:E25)</f>
        <v>3242263.3492822964</v>
      </c>
      <c r="I56" s="131" t="s">
        <v>156</v>
      </c>
    </row>
    <row r="57" ht="16.5" customHeight="1" spans="1:9" x14ac:dyDescent="0.25">
      <c r="A57" s="128" t="s">
        <v>39</v>
      </c>
      <c r="B57" s="129" t="s">
        <v>157</v>
      </c>
      <c r="C57" s="130">
        <f>IF($C$96=0,0,$C$94*$C$95/12/$C$96)</f>
        <v>400.64102564102564</v>
      </c>
      <c r="D57" s="130">
        <f>IF($C$96=0,0,$C$94*$C$95/12/$C$96)</f>
        <v>400.64102564102564</v>
      </c>
      <c r="E57" s="130">
        <f>IF($C$96=0,0,$C$94*$C$95/12/$C$96)</f>
        <v>400.64102564102564</v>
      </c>
      <c r="F57" s="130">
        <f>SUMPRODUCT(C57:E57,C10:E10)</f>
        <v>5208.333333333333</v>
      </c>
      <c r="G57" s="130">
        <f>IF($C$96=0,0,F57/$C$96)</f>
        <v>400.64102564102564</v>
      </c>
      <c r="H57" s="130">
        <f>SUMPRODUCT(C57:E57,C10:E10,C25:E25)</f>
        <v>62500</v>
      </c>
      <c r="I57" s="131" t="s">
        <v>158</v>
      </c>
    </row>
    <row r="58" ht="16.5" customHeight="1" spans="1:9" x14ac:dyDescent="0.25">
      <c r="A58" s="128" t="s">
        <v>39</v>
      </c>
      <c r="B58" s="129" t="s">
        <v>159</v>
      </c>
      <c r="C58" s="130">
        <f>IF($C$98&gt;0,$C$98,C51*$C$97)</f>
        <v>43392.8</v>
      </c>
      <c r="D58" s="130">
        <f>IF($C$98&gt;0,$C$98,D51*$C$97)</f>
        <v>40863</v>
      </c>
      <c r="E58" s="130">
        <f>IF($C$98&gt;0,$C$98,E51*$C$97)</f>
        <v>38764.5</v>
      </c>
      <c r="F58" s="130">
        <f>SUMPRODUCT(C58:E58,C10:E10)</f>
        <v>514862.3</v>
      </c>
      <c r="G58" s="130">
        <f>IF($C$96=0,0,F58/$C$96)</f>
        <v>39604.7923076923</v>
      </c>
      <c r="H58" s="130">
        <f>SUMPRODUCT(C58:E58,C10:E10,C25:E25)</f>
        <v>6178347.6</v>
      </c>
      <c r="I58" s="131" t="s">
        <v>160</v>
      </c>
    </row>
    <row r="59" ht="16.5" customHeight="1" spans="1:9" x14ac:dyDescent="0.25">
      <c r="A59" s="128" t="s">
        <v>39</v>
      </c>
      <c r="B59" s="129" t="s">
        <v>161</v>
      </c>
      <c r="C59" s="130">
        <f>IF($C$100&gt;0,$C$100,C51*$C$99)</f>
        <v>21696.4</v>
      </c>
      <c r="D59" s="130">
        <f>IF($C$100&gt;0,$C$100,D51*$C$99)</f>
        <v>20431.5</v>
      </c>
      <c r="E59" s="130">
        <f>IF($C$100&gt;0,$C$100,E51*$C$99)</f>
        <v>19382.25</v>
      </c>
      <c r="F59" s="130">
        <f>SUMPRODUCT(C59:E59,C10:E10)</f>
        <v>257431.15</v>
      </c>
      <c r="G59" s="130">
        <f>IF($C$96=0,0,F59/$C$96)</f>
        <v>19802.39615384615</v>
      </c>
      <c r="H59" s="130">
        <f>SUMPRODUCT(C59:E59,C10:E10,C25:E25)</f>
        <v>3089173.8</v>
      </c>
      <c r="I59" s="131" t="s">
        <v>162</v>
      </c>
    </row>
    <row r="60" ht="16.5" customHeight="1" spans="1:9" x14ac:dyDescent="0.25">
      <c r="A60" s="128" t="s">
        <v>39</v>
      </c>
      <c r="B60" s="129" t="s">
        <v>163</v>
      </c>
      <c r="C60" s="130">
        <f>IF(OR($C$101=0,C24=1,$C$103=0),0,$C$102/$C$103)</f>
        <v>0</v>
      </c>
      <c r="D60" s="130">
        <f>IF(OR($C$101=0,D24=1,$C$103=0),0,$C$102/$C$103)</f>
        <v>0</v>
      </c>
      <c r="E60" s="130">
        <f>IF(OR($C$101=0,E24=1,$C$103=0),0,$C$102/$C$103)</f>
        <v>0</v>
      </c>
      <c r="F60" s="130">
        <f>SUMPRODUCT(C60:E60,C10:E10)</f>
        <v>0</v>
      </c>
      <c r="G60" s="130">
        <f>IF($C$96=0,0,F60/$C$96)</f>
        <v>0</v>
      </c>
      <c r="H60" s="130">
        <f>SUMPRODUCT(C60:E60,C10:E10,C25:E25)</f>
        <v>0</v>
      </c>
      <c r="I60" s="131" t="s">
        <v>164</v>
      </c>
    </row>
    <row r="61" ht="19" customHeight="1" spans="1:9" x14ac:dyDescent="0.25">
      <c r="A61" s="128" t="s">
        <v>39</v>
      </c>
      <c r="B61" s="132" t="s">
        <v>165</v>
      </c>
      <c r="C61" s="133">
        <f>SUM(C52:C60)</f>
        <v>141396.06112133482</v>
      </c>
      <c r="D61" s="133">
        <f>SUM(D52:D60)</f>
        <v>135878.8730830573</v>
      </c>
      <c r="E61" s="133">
        <f>SUM(E52:E60)</f>
        <v>131008.63504477979</v>
      </c>
      <c r="F61" s="133">
        <f>SUMPRODUCT(C61:E61,C10:E10)</f>
        <v>1728110.395773525</v>
      </c>
      <c r="G61" s="133">
        <f>IF($C$96=0,0,F61/$C$96)</f>
        <v>132931.56890565576</v>
      </c>
      <c r="H61" s="133">
        <f>SUMPRODUCT(C61:E61,C10:E10,C25:E25)</f>
        <v>20737324.749282297</v>
      </c>
      <c r="I61" s="134" t="s">
        <v>166</v>
      </c>
    </row>
    <row r="62" ht="19" customHeight="1" spans="1:9" x14ac:dyDescent="0.25">
      <c r="A62" s="135" t="s">
        <v>167</v>
      </c>
      <c r="B62" s="136" t="s">
        <v>168</v>
      </c>
      <c r="C62" s="137">
        <f>C51+C61</f>
        <v>4480676.061121335</v>
      </c>
      <c r="D62" s="137">
        <f>D51+D61</f>
        <v>4222178.873083057</v>
      </c>
      <c r="E62" s="137">
        <f>E51+E61</f>
        <v>4007458.6350447796</v>
      </c>
      <c r="F62" s="137">
        <f>SUMPRODUCT(C62:E62,C10:E10)</f>
        <v>53214340.39577353</v>
      </c>
      <c r="G62" s="137">
        <f>IF($C$96=0,0,F62/$C$96)</f>
        <v>4093410.7996748867</v>
      </c>
      <c r="H62" s="137">
        <f>SUMPRODUCT(C62:E62,C10:E10,C25:E25)</f>
        <v>638572084.7492824</v>
      </c>
      <c r="I62" s="138" t="s">
        <v>169</v>
      </c>
    </row>
    <row r="63" ht="16.5" customHeight="1" spans="1:9" x14ac:dyDescent="0.25">
      <c r="A63" s="139" t="s">
        <v>39</v>
      </c>
      <c r="B63" s="140" t="s">
        <v>170</v>
      </c>
      <c r="C63" s="141">
        <f>IF($C$105=1,ROUNDUP(C62*$C$104,-1),C62*$C$104)</f>
        <v>224040</v>
      </c>
      <c r="D63" s="141">
        <f>IF($C$105=1,ROUNDUP(D62*$C$104,-1),D62*$C$104)</f>
        <v>211110</v>
      </c>
      <c r="E63" s="141">
        <f>IF($C$105=1,ROUNDUP(E62*$C$104,-1),E62*$C$104)</f>
        <v>200380</v>
      </c>
      <c r="F63" s="141">
        <f>SUMPRODUCT(C63:E63,C10:E10)</f>
        <v>2660790</v>
      </c>
      <c r="G63" s="141">
        <f>IF($C$96=0,0,F63/$C$96)</f>
        <v>204676.15384615384</v>
      </c>
      <c r="H63" s="141">
        <f>SUMPRODUCT(C63:E63,C10:E10,C25:E25)</f>
        <v>31929480</v>
      </c>
      <c r="I63" s="142" t="s">
        <v>171</v>
      </c>
    </row>
    <row r="64" ht="16.5" customHeight="1" spans="1:9" x14ac:dyDescent="0.25">
      <c r="A64" s="139" t="s">
        <v>39</v>
      </c>
      <c r="B64" s="140" t="s">
        <v>172</v>
      </c>
      <c r="C64" s="141">
        <f>C62+C63</f>
        <v>4704716.061121335</v>
      </c>
      <c r="D64" s="141">
        <f>D62+D63</f>
        <v>4433288.873083057</v>
      </c>
      <c r="E64" s="141">
        <f>E62+E63</f>
        <v>4207838.63504478</v>
      </c>
      <c r="F64" s="141">
        <f>SUMPRODUCT(C64:E64,C10:E10)</f>
        <v>55875130.39577353</v>
      </c>
      <c r="G64" s="141">
        <f>IF($C$96=0,0,F64/$C$96)</f>
        <v>4298086.953521041</v>
      </c>
      <c r="H64" s="141">
        <f>SUMPRODUCT(C64:E64,C10:E10,C25:E25)</f>
        <v>670501564.7492824</v>
      </c>
      <c r="I64" s="142" t="s">
        <v>173</v>
      </c>
    </row>
    <row r="65" ht="16.5" customHeight="1" spans="1:9" x14ac:dyDescent="0.25">
      <c r="A65" s="139" t="s">
        <v>39</v>
      </c>
      <c r="B65" s="140" t="s">
        <v>174</v>
      </c>
      <c r="C65" s="141">
        <f>IF($C$107=1,C64,C62)*$C$106</f>
        <v>89613.5212224267</v>
      </c>
      <c r="D65" s="141">
        <f>IF($C$107=1,D64,D62)*$C$106</f>
        <v>84443.57746166115</v>
      </c>
      <c r="E65" s="141">
        <f>IF($C$107=1,E64,E62)*$C$106</f>
        <v>80149.1727008956</v>
      </c>
      <c r="F65" s="141">
        <f>SUMPRODUCT(C65:E65,C10:E10)</f>
        <v>1064286.8079154706</v>
      </c>
      <c r="G65" s="141">
        <f>IF($C$96=0,0,F65/$C$96)</f>
        <v>81868.21599349774</v>
      </c>
      <c r="H65" s="141">
        <f>SUMPRODUCT(C65:E65,C10:E10,C25:E25)</f>
        <v>12771441.694985645</v>
      </c>
      <c r="I65" s="142" t="s">
        <v>175</v>
      </c>
    </row>
    <row r="66" ht="19" customHeight="1" spans="1:9" x14ac:dyDescent="0.25">
      <c r="A66" s="143" t="s">
        <v>39</v>
      </c>
      <c r="B66" s="144" t="s">
        <v>176</v>
      </c>
      <c r="C66" s="145">
        <f>C64+C65</f>
        <v>4794329.582343762</v>
      </c>
      <c r="D66" s="145">
        <f>D64+D65</f>
        <v>4517732.450544718</v>
      </c>
      <c r="E66" s="145">
        <f>E64+E65</f>
        <v>4287987.807745676</v>
      </c>
      <c r="F66" s="145">
        <f>SUMPRODUCT(C66:E66,C10:E10)</f>
        <v>56939417.203688994</v>
      </c>
      <c r="G66" s="145">
        <f>IF($C$96=0,0,F66/$C$96)</f>
        <v>4379955.169514538</v>
      </c>
      <c r="H66" s="145">
        <f>SUMPRODUCT(C66:E66,C10:E10,C25:E25)</f>
        <v>683273006.4442679</v>
      </c>
      <c r="I66" s="146" t="s">
        <v>177</v>
      </c>
    </row>
    <row r="67" ht="19" customHeight="1" spans="1:9" x14ac:dyDescent="0.25">
      <c r="A67" s="147" t="s">
        <v>39</v>
      </c>
      <c r="B67" s="148" t="s">
        <v>178</v>
      </c>
      <c r="C67" s="149">
        <f>ROUNDDOWN(C66,-3)</f>
        <v>4794000</v>
      </c>
      <c r="D67" s="149">
        <f>ROUNDDOWN(D66,-3)</f>
        <v>4517000</v>
      </c>
      <c r="E67" s="149">
        <f>ROUNDDOWN(E66,-3)</f>
        <v>4287000</v>
      </c>
      <c r="F67" s="149">
        <f>SUMPRODUCT(C67:E67,C10:E10)</f>
        <v>56928000</v>
      </c>
      <c r="G67" s="149">
        <f>IF($C$96=0,0,F67/$C$96)</f>
        <v>4379076.923076923</v>
      </c>
      <c r="H67" s="149">
        <f>SUMPRODUCT(C67:E67,C10:E10,C25:E25)</f>
        <v>683136000</v>
      </c>
      <c r="I67" s="150" t="s">
        <v>179</v>
      </c>
    </row>
    <row r="70" ht="20" customHeight="1" spans="1:1" x14ac:dyDescent="0.25">
      <c r="A70" s="151" t="s">
        <v>180</v>
      </c>
    </row>
    <row r="71" spans="2:6" x14ac:dyDescent="0.25">
      <c r="B71" s="152" t="s">
        <v>181</v>
      </c>
      <c r="C71" s="152" t="s">
        <v>182</v>
      </c>
      <c r="D71" s="152" t="s">
        <v>54</v>
      </c>
      <c r="E71" s="152"/>
      <c r="F71" s="152"/>
    </row>
    <row r="72" ht="16" customHeight="1" spans="2:4" x14ac:dyDescent="0.25">
      <c r="B72" s="153" t="s">
        <v>183</v>
      </c>
      <c r="C72" s="154">
        <v>10700</v>
      </c>
      <c r="D72" s="155" t="s">
        <v>184</v>
      </c>
    </row>
    <row r="73" ht="16" customHeight="1" spans="2:4" x14ac:dyDescent="0.25">
      <c r="B73" s="153" t="s">
        <v>185</v>
      </c>
      <c r="C73" s="156">
        <v>0.03595</v>
      </c>
      <c r="D73" s="155" t="s">
        <v>186</v>
      </c>
    </row>
    <row r="74" ht="16" customHeight="1" spans="2:4" x14ac:dyDescent="0.25">
      <c r="B74" s="153" t="s">
        <v>187</v>
      </c>
      <c r="C74" s="157">
        <v>0.13140000000000002</v>
      </c>
      <c r="D74" s="155" t="s">
        <v>39</v>
      </c>
    </row>
    <row r="75" ht="16" customHeight="1" spans="2:4" x14ac:dyDescent="0.25">
      <c r="B75" s="153" t="s">
        <v>131</v>
      </c>
      <c r="C75" s="156">
        <v>0.05</v>
      </c>
      <c r="D75" s="155" t="s">
        <v>39</v>
      </c>
    </row>
    <row r="76" ht="16" customHeight="1" spans="2:4" x14ac:dyDescent="0.25">
      <c r="B76" s="153" t="s">
        <v>188</v>
      </c>
      <c r="C76" s="156">
        <v>0.018500000000000003</v>
      </c>
      <c r="D76" s="155" t="s">
        <v>189</v>
      </c>
    </row>
    <row r="77" ht="16" customHeight="1" spans="2:4" x14ac:dyDescent="0.25">
      <c r="B77" s="153" t="s">
        <v>190</v>
      </c>
      <c r="C77" s="156">
        <v>0.0086</v>
      </c>
      <c r="D77" s="155" t="s">
        <v>191</v>
      </c>
    </row>
    <row r="78" ht="16" customHeight="1" spans="2:4" x14ac:dyDescent="0.25">
      <c r="B78" s="153" t="s">
        <v>137</v>
      </c>
      <c r="C78" s="156">
        <v>0.0009</v>
      </c>
      <c r="D78" s="155" t="s">
        <v>39</v>
      </c>
    </row>
    <row r="79" ht="16" customHeight="1" spans="2:4" x14ac:dyDescent="0.25">
      <c r="B79" s="153" t="s">
        <v>139</v>
      </c>
      <c r="C79" s="158">
        <v>0.00006</v>
      </c>
      <c r="D79" s="155" t="s">
        <v>39</v>
      </c>
    </row>
    <row r="80" ht="16" customHeight="1" spans="2:4" x14ac:dyDescent="0.25">
      <c r="B80" s="153" t="s">
        <v>192</v>
      </c>
      <c r="C80" s="159">
        <v>1.5</v>
      </c>
      <c r="D80" s="155" t="s">
        <v>39</v>
      </c>
    </row>
    <row r="81" ht="16" customHeight="1" spans="2:4" x14ac:dyDescent="0.25">
      <c r="B81" s="153" t="s">
        <v>193</v>
      </c>
      <c r="C81" s="159">
        <v>1</v>
      </c>
      <c r="D81" s="155" t="s">
        <v>39</v>
      </c>
    </row>
    <row r="82" ht="16" customHeight="1" spans="2:4" x14ac:dyDescent="0.25">
      <c r="B82" s="153" t="s">
        <v>194</v>
      </c>
      <c r="C82" s="159">
        <v>0.5</v>
      </c>
      <c r="D82" s="155" t="s">
        <v>39</v>
      </c>
    </row>
    <row r="83" ht="16" customHeight="1" spans="2:4" x14ac:dyDescent="0.25">
      <c r="B83" s="153" t="s">
        <v>195</v>
      </c>
      <c r="C83" s="160">
        <v>8</v>
      </c>
      <c r="D83" s="155" t="s">
        <v>39</v>
      </c>
    </row>
    <row r="84" ht="16" customHeight="1" spans="2:4" x14ac:dyDescent="0.25">
      <c r="B84" s="153" t="s">
        <v>196</v>
      </c>
      <c r="C84" s="154">
        <v>80000</v>
      </c>
      <c r="D84" s="155" t="s">
        <v>39</v>
      </c>
    </row>
    <row r="85" ht="16" customHeight="1" spans="2:4" x14ac:dyDescent="0.25">
      <c r="B85" s="153" t="s">
        <v>197</v>
      </c>
      <c r="C85" s="160">
        <v>1</v>
      </c>
      <c r="D85" s="155" t="s">
        <v>39</v>
      </c>
    </row>
    <row r="86" ht="16" customHeight="1" spans="2:4" x14ac:dyDescent="0.25">
      <c r="B86" s="153" t="s">
        <v>198</v>
      </c>
      <c r="C86" s="161">
        <v>0.031</v>
      </c>
      <c r="D86" s="155" t="s">
        <v>39</v>
      </c>
    </row>
    <row r="87" ht="16" customHeight="1" spans="2:4" x14ac:dyDescent="0.25">
      <c r="B87" s="153" t="s">
        <v>199</v>
      </c>
      <c r="C87" s="154">
        <v>1360000</v>
      </c>
      <c r="D87" s="155" t="s">
        <v>39</v>
      </c>
    </row>
    <row r="88" ht="16" customHeight="1" spans="2:4" x14ac:dyDescent="0.25">
      <c r="B88" s="153" t="s">
        <v>200</v>
      </c>
      <c r="C88" s="162">
        <v>1</v>
      </c>
      <c r="D88" s="155" t="s">
        <v>39</v>
      </c>
    </row>
    <row r="89" ht="16" customHeight="1" spans="2:4" x14ac:dyDescent="0.25">
      <c r="B89" s="153" t="s">
        <v>201</v>
      </c>
      <c r="C89" s="154">
        <v>100000</v>
      </c>
      <c r="D89" s="155" t="s">
        <v>39</v>
      </c>
    </row>
    <row r="90" ht="16" customHeight="1" spans="2:4" x14ac:dyDescent="0.25">
      <c r="B90" s="153" t="s">
        <v>202</v>
      </c>
      <c r="C90" s="154">
        <v>10000</v>
      </c>
      <c r="D90" s="155" t="s">
        <v>39</v>
      </c>
    </row>
    <row r="91" ht="16" customHeight="1" spans="2:4" x14ac:dyDescent="0.25">
      <c r="B91" s="153" t="s">
        <v>203</v>
      </c>
      <c r="C91" s="154">
        <v>4000</v>
      </c>
      <c r="D91" s="155" t="s">
        <v>39</v>
      </c>
    </row>
    <row r="92" ht="16" customHeight="1" spans="2:4" x14ac:dyDescent="0.25">
      <c r="B92" s="153" t="s">
        <v>204</v>
      </c>
      <c r="C92" s="163">
        <v>12</v>
      </c>
      <c r="D92" s="155" t="s">
        <v>39</v>
      </c>
    </row>
    <row r="93" ht="16" customHeight="1" spans="2:4" x14ac:dyDescent="0.25">
      <c r="B93" s="153" t="s">
        <v>205</v>
      </c>
      <c r="C93" s="163">
        <v>1.8</v>
      </c>
      <c r="D93" s="155" t="s">
        <v>39</v>
      </c>
    </row>
    <row r="94" ht="16" customHeight="1" spans="2:4" x14ac:dyDescent="0.25">
      <c r="B94" s="153" t="s">
        <v>206</v>
      </c>
      <c r="C94" s="154">
        <v>62500</v>
      </c>
      <c r="D94" s="155" t="s">
        <v>39</v>
      </c>
    </row>
    <row r="95" ht="16" customHeight="1" spans="2:4" x14ac:dyDescent="0.25">
      <c r="B95" s="153" t="s">
        <v>207</v>
      </c>
      <c r="C95" s="160">
        <v>1</v>
      </c>
      <c r="D95" s="155" t="s">
        <v>39</v>
      </c>
    </row>
    <row r="96" ht="16" customHeight="1" spans="2:4" x14ac:dyDescent="0.25">
      <c r="B96" s="153" t="s">
        <v>208</v>
      </c>
      <c r="C96" s="164">
        <f>SUM(C10:E10)</f>
        <v>13</v>
      </c>
      <c r="D96" s="155" t="s">
        <v>209</v>
      </c>
    </row>
    <row r="97" ht="16" customHeight="1" spans="2:4" x14ac:dyDescent="0.25">
      <c r="B97" s="153" t="s">
        <v>210</v>
      </c>
      <c r="C97" s="161">
        <v>0.01</v>
      </c>
      <c r="D97" s="155" t="s">
        <v>39</v>
      </c>
    </row>
    <row r="98" ht="16" customHeight="1" spans="2:4" x14ac:dyDescent="0.25">
      <c r="B98" s="153" t="s">
        <v>211</v>
      </c>
      <c r="C98" s="154">
        <v>0</v>
      </c>
      <c r="D98" s="155" t="s">
        <v>212</v>
      </c>
    </row>
    <row r="99" ht="16" customHeight="1" spans="2:4" x14ac:dyDescent="0.25">
      <c r="B99" s="153" t="s">
        <v>213</v>
      </c>
      <c r="C99" s="161">
        <v>0.005</v>
      </c>
      <c r="D99" s="155" t="s">
        <v>39</v>
      </c>
    </row>
    <row r="100" ht="16" customHeight="1" spans="2:4" x14ac:dyDescent="0.25">
      <c r="B100" s="153" t="s">
        <v>214</v>
      </c>
      <c r="C100" s="154">
        <v>0</v>
      </c>
      <c r="D100" s="155" t="s">
        <v>212</v>
      </c>
    </row>
    <row r="101" ht="16" customHeight="1" spans="2:4" x14ac:dyDescent="0.25">
      <c r="B101" s="153" t="s">
        <v>215</v>
      </c>
      <c r="C101" s="160">
        <v>1</v>
      </c>
      <c r="D101" s="155" t="s">
        <v>216</v>
      </c>
    </row>
    <row r="102" ht="16" customHeight="1" spans="2:4" x14ac:dyDescent="0.25">
      <c r="B102" s="153" t="s">
        <v>217</v>
      </c>
      <c r="C102" s="154">
        <v>0</v>
      </c>
      <c r="D102" s="155" t="s">
        <v>218</v>
      </c>
    </row>
    <row r="103" ht="16" customHeight="1" spans="2:4" x14ac:dyDescent="0.25">
      <c r="B103" s="153" t="s">
        <v>219</v>
      </c>
      <c r="C103" s="164">
        <f>SUMPRODUCT(C10:E10,1-C24:E24)</f>
        <v>13</v>
      </c>
      <c r="D103" s="155" t="s">
        <v>39</v>
      </c>
    </row>
    <row r="104" ht="16" customHeight="1" spans="2:4" x14ac:dyDescent="0.25">
      <c r="B104" s="153" t="s">
        <v>220</v>
      </c>
      <c r="C104" s="161">
        <v>0.05</v>
      </c>
      <c r="D104" s="155" t="s">
        <v>39</v>
      </c>
    </row>
    <row r="105" ht="16" customHeight="1" spans="2:4" x14ac:dyDescent="0.25">
      <c r="B105" s="153" t="s">
        <v>221</v>
      </c>
      <c r="C105" s="160">
        <v>1</v>
      </c>
      <c r="D105" s="155" t="s">
        <v>39</v>
      </c>
    </row>
    <row r="106" ht="16" customHeight="1" spans="2:4" x14ac:dyDescent="0.25">
      <c r="B106" s="153" t="s">
        <v>222</v>
      </c>
      <c r="C106" s="161">
        <v>0.02</v>
      </c>
      <c r="D106" s="155" t="s">
        <v>39</v>
      </c>
    </row>
    <row r="107" ht="16" customHeight="1" spans="2:4" x14ac:dyDescent="0.25">
      <c r="B107" s="153" t="s">
        <v>223</v>
      </c>
      <c r="C107" s="160">
        <v>0</v>
      </c>
      <c r="D107" s="155" t="s">
        <v>39</v>
      </c>
    </row>
    <row r="109" ht="26" customHeight="1" spans="3:9" x14ac:dyDescent="0.25">
      <c r="C109" s="165" t="s">
        <v>224</v>
      </c>
      <c r="D109" s="165"/>
      <c r="E109" s="165"/>
      <c r="F109" s="165"/>
      <c r="G109" s="165"/>
      <c r="H109" s="165"/>
      <c r="I109" s="165"/>
    </row>
  </sheetData>
  <mergeCells count="11">
    <mergeCell ref="D1:G2"/>
    <mergeCell ref="H1:I1"/>
    <mergeCell ref="H2:I2"/>
    <mergeCell ref="D3:G3"/>
    <mergeCell ref="A7:B9"/>
    <mergeCell ref="F7:F9"/>
    <mergeCell ref="G7:G9"/>
    <mergeCell ref="H7:H9"/>
    <mergeCell ref="I7:I9"/>
    <mergeCell ref="D71:F71"/>
    <mergeCell ref="C109:I109"/>
  </mergeCells>
  <printOptions horizontalCentered="1"/>
  <pageMargins left="0.25" right="0.25" top="0.45" bottom="0.5" header="0.2" footer="0.25"/>
  <pageSetup paperSize="9" orientation="portrait" horizontalDpi="4294967295" verticalDpi="4294967295" scale="54" fitToWidth="1" fitToHeight="0"/>
  <headerFooter>
    <oddFooter>&amp;L&amp;8㈜에스텍시스템 산출내역서&amp;R&amp;8&amp;P / &amp;N</oddFooter>
  </headerFooter>
  <rowBreaks count="1" manualBreakCount="1">
    <brk id="67" max="16838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26" customWidth="1"/>
    <col min="3" max="3" width="7" customWidth="1"/>
    <col min="4" max="4" width="14" customWidth="1"/>
    <col min="5" max="5" width="62" customWidth="1"/>
  </cols>
  <sheetData>
    <row r="1" ht="22" customHeight="1" spans="2:5" x14ac:dyDescent="0.25">
      <c r="B1" s="166" t="s">
        <v>225</v>
      </c>
      <c r="C1" s="166"/>
      <c r="D1" s="166"/>
      <c r="E1" s="18" t="inlineStr">
        <is>
          <t xml:space="preserve">No. 261021-2703</t>
        </is>
      </c>
    </row>
    <row r="2" ht="22" customHeight="1" spans="2:5" x14ac:dyDescent="0.25">
      <c r="B2" s="166"/>
      <c r="C2" s="166"/>
      <c r="D2" s="166"/>
      <c r="E2" s="19" t="inlineStr">
        <is>
          <t xml:space="preserve">작성일 2026. 10. 21</t>
        </is>
      </c>
    </row>
    <row r="3" ht="14" customHeight="1" spans="2:4" x14ac:dyDescent="0.25">
      <c r="B3" s="20" t="inlineStr">
        <is>
          <t xml:space="preserve">현대자동차 울산공장 정문 · 반영방식 인당 단가 균등 배분 · 단위: 원, VAT 별도</t>
        </is>
      </c>
      <c r="C3" s="20"/>
      <c r="D3" s="20"/>
    </row>
    <row r="4" ht="5" customHeight="1" spans="1:5" x14ac:dyDescent="0.25">
      <c r="A4" s="1"/>
      <c r="B4" s="1"/>
      <c r="C4" s="1"/>
      <c r="D4" s="1"/>
      <c r="E4" s="1"/>
    </row>
    <row r="5" ht="2.5" customHeight="1" spans="1:5" x14ac:dyDescent="0.25">
      <c r="A5" s="2"/>
      <c r="B5" s="2"/>
      <c r="C5" s="2"/>
      <c r="D5" s="2"/>
      <c r="E5" s="2"/>
    </row>
    <row r="7" spans="1:5" x14ac:dyDescent="0.25">
      <c r="A7" s="167" t="s">
        <v>227</v>
      </c>
      <c r="B7" s="167" t="s">
        <v>181</v>
      </c>
      <c r="C7" s="167" t="s">
        <v>228</v>
      </c>
      <c r="D7" s="167" t="s">
        <v>229</v>
      </c>
      <c r="E7" s="167" t="s">
        <v>230</v>
      </c>
    </row>
    <row r="8" ht="18" customHeight="1" spans="1:5" x14ac:dyDescent="0.25">
      <c r="A8" s="168" t="s">
        <v>231</v>
      </c>
      <c r="B8" s="168"/>
      <c r="C8" s="168"/>
      <c r="D8" s="169">
        <v>0</v>
      </c>
      <c r="E8" s="170" t="inlineStr">
        <is>
          <t xml:space="preserve">인당 0원 배분 (13명)</t>
        </is>
      </c>
    </row>
  </sheetData>
  <mergeCells count="2">
    <mergeCell ref="B1:D2"/>
    <mergeCell ref="B3:D3"/>
  </mergeCells>
  <pageMargins left="0.7" right="0.7" top="0.75" bottom="0.75" header="0.3" footer="0.3"/>
  <pageSetup paperSize="9" orientation="portrait" horizontalDpi="4294967295" verticalDpi="4294967295" scale="100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inlineStr">
        <is>
          <t xml:space="preserve">{"meta":{"client":"현대자동차 울산공장 정문","addr":"울산 북구 염포로 700","svc":"보안용역 도급업무","year":2027,"date":"2026-10-21","from":"2027-01-01","to":"2027-12-31","valid":"작성일로부터 1개월","mode":"new","branch":"부경본부","grpCo":"에스텍시스템","siteId":null,"lat":35.54323224110387,"lng":129.38463055208857,"geoName":"현대자동차 울산공장 정문","geoSrc":"카카오맵","geoInfo":{"src":"카카오맵","name":"현대자동차 울산공장 정문","type":"입출구","addr":"울산 북구 염포로 700","region":"울산 북구 양정동","postcode":"","osm":"","lat":35.54323224110387,"lng":129.38463055208857,"tags":{},"wiki":{"title":"정주영","extract":"정주영(鄭周永, 1915년 11월 25일~2001년 3월 21일)은 현대그룹 창업주로 대한민국의 기업인, 정치인이다. 제14대 국회의원을 지냈다. 본관은 하동(河東), 아호(雅號)는 아산(峨山)이다.","url":"https://ko.wikipedia.org/wiki/%EC%A0%95%EC%A3%BC%EC%98%81","thumb":"https://thumb.wikimedia.org/wikipedia/commons/thumb/c/c3/Chung_Ju-yung_%28Cropped%29.jpg/330px-Chung_Ju-yung_%28Cropped%29.jpg?utm_source=ko.wikipedia.org&amp;utm_campaign=api&amp;utm_content=thumbnail"},"loading":false,"category":"교통,수송 &gt; 입출구","road":"울산 북구 염포로 700","jibun":"울산 북구 양정동 700","phone":"","kakaoUrl":"http://place.map.kakao.com/394445757","kid":"394445757"}},"roles":[{"id":"r1000ibzc","cat":"sec","rank":"실장","detail":"","gender":"M","shift":"day5_11","count":1,"wage":10700,"base":209,"ot":65,"night":0,"dayH":12,"rest":1,"watch":true,"pos":0,"adj":0,"duty":500000,"meal":0,"holDays":0,"leave":15,"laborDay":true,"retire":true,"bonusPct":0,"bonusBase":"basic","pensionPct":100,"special":"auto","uniform":30000,"months":12,"prev":0,"note":"","addonEx":false,"title":"실장"},{"id":"r1001vcmk","cat":"sec","rank":"팀장","detail":"","gender":"M","shift":"day5_11","count":3,"wage":10700,"base":209,"ot":65,"night":0,"dayH":12,"rest":1,"watch":true,"pos":0,"adj":0,"duty":300000,"meal":0,"holDays":0,"leave":15,"laborDay":true,"retire":true,"bonusPct":0,"bonusBase":"basic","pensionPct":100,"special":"auto","uniform":30000,"months":12,"prev":0,"note":"","addonEx":false,"title":"팀장"},{"id":"r1002p9ns","cat":"sec","rank":"요원","detail":"","gender":"M","shift":"s32","count":9,"wage":10700,"base":209,"ot":25,"night":82,"dayH":12,"rest":1,"watch":true,"pos":0,"adj":100000,"duty":0,"meal":0,"holDays":0,"leave":15,"laborDay":true,"retire":true,"bonusPct":0,"bonusBase":"basic","pensionPct":100,"special":"auto","uniform":30000,"months":12,"prev":0,"note":"","addonEx":false,"title":"요원"}],"vehicles":[],"equips":[],"others":[],"addonMode":"spread","addonMargin":true,"set":{"minWage":10700,"health":3.595,"ltc":13.14,"pension":5,"empSize":"o1000","emp":1.85,"indBase":0.8,"indCom":0.06,"ind":0.86,"wageClaim":0.09,"asb":0.006,"otGen":1.5,"otWatch":1,"nightRate":0.5,"specialExam":80000,"disOn":true,"disRate":3.1,"disBase":1360000,"disRatio":100,"gift":100000,"meeting":10000,"condol":4000,"reliefH":12,"reliefDays":1.8,"resTax":62500,"resSites":1,"edu":1,"eduFix":0,"risk":0.5,"riskFix":0,"leaveH":8,"ga":5,"profit":2,"profitBase":"direct","gaRound":true,"priceRound":"down3","vat":10,"coKey":"에스텍시스템","coName":"㈜에스텍시스템","coCeo":"이병화","coBizNo":"202-81-62708","coCorpNo":"110111-1627144","coAddr":"서울특별시 강남구 개포로 619, 8층(개포동, 서울강남우체국청사)","coType":"서비스","coItem":"시설경비·신변보호·기계경비·호송경비, 건물(시설)관리용역, 위생관리, 주차관리","coLic":"","coBranch":"에스텍 그룹","coPerson":"","coPersonTitle":"","coPersonTel":"","cond":"○ 견적 기준 : {연도}년 최저임금({최저시급}원) 및 통상시급 적용\n    단, 매년 법정최저임금(4대보험 포함) 등 관계법령이 변경될 경우 그 즉시 변경된 내용에 따라 적용합니다.\n○ 납입 조건 : 전자세금계산서 발행(당월 20일 청구, 익월 5일 납입, 현금결제)\n○ 손해배상 : 총 2억원 (당사의 귀책사유로 인한 사고 발생시 손해배상 책임보험에 의거)\n    1) 대인배상 : 1인 2천만원 한도 총 1억원(1사고당), 2) 대물배상 : 1억원한도(사고당)\n○ 상기 금액은 피복, 장비, 복리후생 등 포함한 금액입니다.\n○ 업무 수행에 필요한 근무실, 휴게실, 청소용품(소모품 포함), 집기류, 통신, 식사는 고객사 제공조건"},"wbe":{"v":"1.6","mode":"B","ind":"factory","job":"sec","year":2027,"H":1752.4,"add":0,"tree":[{"id":"n27","name":"출입통제","kids":[{"id":"n18","name":"정문 초소","kids":[{"id":"n1","name":"정문 상주 근무 (24시간 경계·대기)","kids":[],"t":{"min":1440,"qty":1,"unit":"개소","freq":1,"per":"d","type":"post","g":"C","pick":true}},{"id":"n6","name":"차량 출입관리","kids":[{"id":"n2","name":"입문 차량 확인·출입 기록","kids":[],"t":{"min":0.5,"qty":108,"unit":"대","freq":1,"per":"d","type":"work","g":"C","pick":true}},{"id":"n3","name":"출문 차량 적재물 확인","kids":[],"t":{"min":1,"qty":54,"unit":"대","freq":1,"per":"d","type":"work","g":"C","pick":true}},{"id":"n4","name":"협력업체·납품차량 출입 통제","kids":[],"t":{"min":3,"qty":18,"unit":"대","freq":1,"per":"d","type":"work","g":"C","pick":true}},{"id":"n5","name":"긴급·관공서 차량 우선 통행 안내","kids":[],"t":{"min":3,"qty":2,"unit":"대","freq":1,"per":"d","type":"work","g":"C","pick":true}}],"t":{"min":0,"qty":1,"unit":"회","freq":1,"per":"d","type":"work","g":"C"}},{"id":"n10","name":"방문객 관리","kids":[{"id":"n7","name":"방문객 신원확인·출입증 발급","kids":[],"t":{"min":2,"qty":60,"unit":"명","freq":1,"per":"d","type":"work","g":"C","pick":true}},{"id":"n8","name":"출입증 회수·방문 대장 정리","kids":[],"t":{"min":0.5,"qty":60,"unit":"명","freq":1,"per":"d","type":"work","g":"C","pick":true}},{"id":"n9","name":"사전 방문예약 확인·접견자 연락","kids":[],"t":{"min":1,"qty":24,"unit":"건","freq":1,"per":"d","type":"work","g":"C","pick":true}}],"t":{"min":0,"qty":1,"unit":"회","freq":1,"per":"d","type":"work","g":"C"}},{"id":"n13","name":"물품 반출입 관리","kids":[{"id":"n11","name":"반출입증 확인·물품 대조","kids":[],"t":{"min":3,"qty":14,"unit":"건","freq":1,"per":"d","type":"work","g":"C","pick":true}},{"id":"n12","name":"반입 금지물품(화기·위험물) 검색","kids":[],"t":{"min":1,"qty":60,"unit":"명","freq":1,"per":"d","type":"work","g":"C","pick":true}}],"t":{"min":0,"qty":1,"unit":"회","freq":1,"per":"d","type":"work","g":"C"}},{"id":"n17","name":"택배·우편 관리","kids":[{"id":"n14","name":"택배 수령·보관 등록","kids":[],"t":{"min":1,"qty":40,"unit":"건","freq":1,"per":"d","type":"work","g":"C","pick":true}},{"id":"n15","name":"수령자 연락·인계 확인","kids":[],"t":{"min":0.7,"qty":40,"unit":"건","freq":1,"per":"d","type":"work","g":"C","pick":true}},{"id":"n16","name":"등기·우편물 분류","kids":[],"t":{"min":0.5,"qty":12,"unit":"건","freq":1,"per":"d","type":"work","g":"C","pick":true}}],"t":{"min":0,"qty":1,"unit":"회","freq":1,"per":"d","type":"work","g":"C"}}],"t":{"min":0,"qty":1,"unit":"회","freq":1,"per":"d","type":"work","g":"C"}},{"id":"n22","name":"후문·부출입구","kids":[{"id":"n19","name":"후문 주간 상주 (07~19시)","kids":[],"t":{"min":720,"qty":1,"unit":"개소","freq":5,"per":"w","type":"post","g":"C","pick":true}},{"id":"n20","name":"출퇴근 시간 출입 통제","kids":[],"t":{"min":30,"qty":1,"unit":"개소","freq":10,"per":"w","type":"work","g":"C","pick":true}},{"id":"n21","name":"야간 출입문 시건·개방","kids":[],"t":{"min":10,"qty":1,"unit":"개소","freq":2,"per":"d","type":"work","g":"C","pick":true}}],"t":{"min":0,"qty":1,"unit":"회","freq":1,"per":"d","type":"work","g":"C"}},{"id":"n26","name":"출입보안시스템","kids":[{"id":"n23","name":"출입카드 발급·회수·분실 처리","kids":[],"t":{"min":5,"qty":10,"unit":"건","freq":1,"per":"w","type":"work","g":"C","pick":true}},{"id":"n24","name":"출입기록 확인·이상 출입 조치","kids":[],"t":{"min":15,"qty":1,"unit":"회","freq":1,"per":"d","type":"work","g":"C","pick":true}},{"id":"n25","name":"스피드게이트·출입통제기 작동 확인","kids":[],"t":{"min":5,"qty":2,"unit":"대","freq":1,"per":"d","type":"work","g":"C","pick":true}}],"t":{"min":0,"qty":1,"unit":"회","freq":1,"per":"d","type":"work","g":"C"}}],"t":{"min":0,"qty":1,"unit":"회","freq":1,"per":"d","type":"work","g":"C"}},{"id":"n37","name":"순찰","kids":[{"id":"n32","name":"정기순찰","kids":[{"id":"n28","name":"외곽 울타리·담장 순찰","kids":[],"t":{"min":30,"qty":2,"unit":"구역","freq":4,"per":"d","type":"work","g":"C","pick":true}},{"id":"n29","name":"건물 내부 층별 순찰","kids":[],"t":{"min":5,"qty":18,"unit":"층","freq":2,"per":"d","type":"work","g":"C","pick":true}},{"id":"n30","name":"주차장 순찰","kids":[],"t":{"min":8,"qty":3,"unit":"구역","freq":3,"per":"d","type":"work","g":"C","pick":true}},{"id":"n31","name":"야간 문단속·소등·전열기구 확인","kids":[],"t":{"min":3,"qty":18,"unit":"층","freq":1,"per":"d","type":"work","g":"C","pick":true}}],"t":{"min":0,"qty":1,"unit":"회","freq":1,"per":"d","type":"work","g":"C"}},{"id":"n36","name":"특별순찰","kids":[{"id":"n33","name":"취약지역·사각지대 집중 순찰","kids":[],"t":{"min":20,"qty":3,"unit":"개소","freq":2,"per":"d","type":"work","g":"C","pick":true}},{"id":"n34","name":"휴일·공휴일 전수 점검","kids":[],"t":{"min":30,"qty":6,"unit":"동","freq":8,"per":"m","type":"work","g":"C","pick":true}},{"id":"n35","name":"기상특보(태풍·폭우·폭설) 비상 순찰","kids":[],"t":{"min":60,"qty":6,"unit":"동","freq":4,"per":"y","type":"work","g":"C","pick":true}}],"t":{"min":0,"qty":1,"unit":"회","freq":1,"per":"d","type":"work","g":"C"}}],"t":{"min":0,"qty":1,"unit":"회","freq":1,"per":"d","type":"work","g":"C"}},{"id":"n67","name":"상황대처","kids":[{"id":"n42","name":"화재·소방","kids":[{"id":"n38","name":"화재경보 발생 시 현장 출동·확인","kids":[],"t":{"min":15,"qty":1,"unit":"건","freq":6,"per":"m","type":"work","g":"C","pick":true}},{"id":"n39","name":"비화재보 복구·수신기 리셋","kids":[],"t":{"min":10,"qty":1,"unit":"건","freq":4,"per":"m","type":"work","g":"C","pick":true}},{"id":"n40","name":"초기 소화·피난 유도","kids":[],"t":{"min":60,"qty":1,"unit":"건","freq":1,"per":"y","type":"work","g":"C","pick":true}},{"id":"n41","name":"소방서 신고·소방차 진입 안내","kids":[],"t":{"min":20,"qty":1,"unit":"건","freq":1,"per":"q","type":"work","g":"C","pick":true}}],"t":{"min":0,"qty":1,"unit":"회","freq":1,"per":"d","type":"work","g":"C"}},{"id":"n48","name":"응급·안전사고","kids":[{"id":"n43","name":"응급환자 응급조치·119 신고·인계","kids":[],"t":{"min":30,"qty":1,"unit":"건","freq":1,"per":"m","type":"work","g":"C","pick":true}},{"id":"n44","name":"AED·구급함 점검","kids":[],"t":{"min":5,"qty":6,"unit":"개소","freq":1,"per":"m","type":"work","g":"C","pick":true}},{"id":"n45","name":"산업재해 발생 시 현장 통제·보고","kids":[],"t":{"min":60,"qty":1,"unit":"건","freq":2,"per":"y","type":"work","g":"C","pick":true}},{"id":"n46","name":"승강기 갇힘 사고 대응·구조 연계","kids":[],"t":{"min":30,"qty":1,"unit":"건","freq":1,"per":"m","type":"work","g":"C","pick":true}},{"id":"n47","name":"넘어짐·추락 사고 현장 조치","kids":[],"t":{"min":20,"qty":1,"unit":"건","freq":1,"per":"m","type":"work","g":"C","pick":true}}],"t":{"min":0,"qty":1,"unit":"회","freq":1,"per":"d","type":"work","g":"C"}},{"id":"n53","name":"침입·도난·범죄","kids":[{"id":"n49","name":"무단침입 발생 시 대응·경찰 신고","kids":[],"t":{"min":40,"qty":1,"unit":"건","freq":2,"per":"m","type":"work","g":"C","pick":true}},{"id":"n50","name":"도난·분실 신고 접수·조사 협조","kids":[],"t":{"min":30,"qty":1,"unit":"건","freq":1,"per":"m","type":"work","g":"C","pick":true}},{"id":"n51","name":"CCTV 영상 확인·증거 보존 지원","kids":[],"t":{"min":30,"qty":1,"unit":"건","freq":4,"per":"m","type":"work","g":"C","pick":true}},{"id":"n52","name":"수상한 물건·거동 수상자 확인","kids":[],"t":{"min":15,"qty":1,"unit":"건","freq":8,"per":"m","type":"work","g":"C","pick":true}}],"t":{"min":0,"qty":1,"unit":"회","freq":1,"per":"d","type":"work","g":"C"}},{"id":"n58","name":"소란·민원·폭력","kids":[{"id":"n54","name":"소란·난동 발생 시 제지·분리","kids":[],"t":{"min":30,"qty":1,"unit":"건","freq":1,"per":"m","type":"work","g":"C","pick":true}},{"id":"n55","name":"주취자·노숙인 대응","kids":[],"t":{"min":20,"qty":1,"unit":"건","freq":1,"per":"m","type":"work","g":"C","pick":true}},{"id":"n56","name":"현장 민원 접수·응대","kids":[],"t":{"min":10,"qty":3,"unit":"건","freq":1,"per":"d","type":"work","g":"C","pick":true}},{"id":"n57","name":"집회·시위 발생 시 출입 통제","kids":[],"t":{"min":120,"qty":1,"unit":"건","freq":1,"per":"y","type":"work","g":"C","pick":true}}],"t":{"min":0,"qty":1,"unit":"회","freq":1,"per":"d","type":"work","g":"C"}},{"id":"n63","name":"설비 이상·재난","kids":[{"id":"n59","name":"정전 시 비상조명 확인·설비팀 연락","kids":[],"t":{"min":30,"qty":1,"unit":"건","freq":2,"per":"y","type":"work","g":"C","pick":true}},{"id":"n60","name":"누수·배관 파열 초동 조치","kids":[],"t":{"min":30,"qty":1,"unit":"건","freq":3,"per":"m","type":"work","g":"C","pick":true}},{"id":"n61","name":"가스·화학물질 누출 초동 조치","kids":[],"t":{"min":60,"qty":1,"unit":"건","freq":2,"per":"y","type":"work","g":"C","pick":true}},{"id":"n62","name":"태풍·폭우 대비 시설물 결박·배수구 점검","kids":[],"t":{"min":60,"qty":6,"unit":"동","freq":3,"per":"y","type":"work","g":"C","pick":true}}],"t":{"min":0,"qty":1,"unit":"회","freq":1,"per":"d","type":"work","g":"C"}},{"id":"n66","name":"교통·주차 사고","kids":[{"id":"n64","name":"구내 교통사고 현장 통제·보고","kids":[],"t":{"min":40,"qty":1,"unit":"건","freq":1,"per":"m","type":"work","g":"C","pick":true}},{"id":"n65","name":"통행 방해·불법주차 차량 조치","kids":[],"t":{"min":5,"qty":6,"unit":"건","freq":1,"per":"d","type":"work","g":"C","pick":true}}],"t":{"min":0,"qty":1,"unit":"회","freq":1,"per":"d","type":"work","g":"C"}}],"t":{"min":0,"qty":1,"unit":"회","freq":1,"per":"d","type":"work","g":"C"}},{"id":"n80","name":"관제·방재","kids":[{"id":"n71","name":"CCTV 관제","kids":[{"id":"n68","name":"CCTV 모니터링 (정문 초소 겸무)","kids":[],"t":{"min":10,"qty":1,"unit":"회","freq":6,"per":"d","type":"work","g":"C","pick":true}},{"id":"n69","name":"CCTV 녹화 상태·카메라 점검","kids":[],"t":{"min":1,"qty":120,"unit":"대","freq":1,"per":"w","type":"work","g":"C","pick":true}},{"id":"n70","name":"영상 열람·반출 요청 처리","kids":[],"t":{"min":30,"qty":1,"unit":"건","freq":4,"per":"m","type":"work","g":"C","pick":true}}],"t":{"min":0,"qty":1,"unit":"회","freq":1,"per":"d","type":"work","g":"C"}},{"id":"n75","name":"방재·설비 감시","kids":[{"id":"n72","name":"화재수신기·방재반 감시 기록","kids":[],"t":{"min":10,"qty":1,"unit":"회","freq":3,"per":"d","type":"work","g":"C","pick":true}},{"id":"n73","name":"무인경비·침입감지 알람 확인","kids":[],"t":{"min":10,"qty":1,"unit":"건","freq":2,"per":"d","type":"work","g":"C","pick":true}},{"id":"n74","name":"비상방송·안내방송 송출","kids":[],"t":{"min":5,"qty":1,"unit":"회","freq":1,"per":"d","type":"work","g":"C","pick":true}}],"t":{"min":0,"qty":1,"unit":"회","freq":1,"per":"d","type":"work","g":"C"}},{"id":"n79","name":"소방시설 일상점검","kids":[{"id":"n76","name":"소화기·옥내소화전 외관 점검","kids":[],"t":{"min":1,"qty":125,"unit":"개","freq":1,"per":"m","type":"work","g":"C","pick":true}},{"id":"n77","name":"방화문·피난통로 적치물 확인","kids":[],"t":{"min":2,"qty":18,"unit":"층","freq":1,"per":"w","type":"work","g":"C","pick":true}},{"id":"n78","name":"유도등·비상조명 점등 확인","kids":[],"t":{"min":0.5,"qty":72,"unit":"개","freq":1,"per":"m","type":"work","g":"C","pick":true}}],"t":{"min":0,"qty":1,"unit":"회","freq":1,"per":"d","type":"work","g":"C"}}],"t":{"min":0,"qty":1,"unit":"회","freq":1,"per":"d","type":"work","g":"C"}},{"id":"n96","name":"고객사 업무 지원","kids":[{"id":"n84","name":"안내·의전","kids":[{"id":"n81","name":"VIP·귀빈 영접 및 차량 안내","kids":[],"t":{"min":20,"qty":2,"unit":"건","freq":4,"per":"m","type":"work","g":"C","pick":true}},{"id":"n82","name":"회의·행사장 출입 통제","kids":[],"t":{"min":120,"qty":2,"unit":"회","freq":1,"per":"m","type":"work","g":"C","pick":true}},{"id":"n83","name":"행사 주차 안내·교통 정리","kids":[],"t":{"min":90,"qty":1,"unit":"회","freq":1,"per":"m","type":"work","g":"C","pick":true}}],"t":{"min":0,"qty":1,"unit":"회","freq":1,"per":"d","type":"work","g":"C"}},{"id":"n89","name":"행정 지원","kids":[{"id":"n85","name":"열쇠·출입카드 보관·대여 관리","kids":[],"t":{"min":2,"qty":20,"unit":"건","freq":1,"per":"d","type":"work","g":"C","pick":true}},{"id":"n86","name":"분실물·습득물 접수·보관·반환","kids":[],"t":{"min":5,"qty":2,"unit":"건","freq":1,"per":"d","type":"work","g":"C","pick":true}},{"id":"n87","name":"공지문·게시물 부착·회수","kids":[],"t":{"min":20,"qty":6,"unit":"동","freq":2,"per":"m","type":"work","g":"C","pick":true}},{"id":"n88","name":"고객사 요청 문서·물품 전달","kids":[],"t":{"min":15,"qty":2,"unit":"건","freq":1,"per":"d","type":"work","g":"C","pick":true}}],"t":{"min":0,"qty":1,"unit":"회","freq":1,"per":"d","type":"work","g":"C"}},{"id":"n92","name":"시설·환경 지원","kids":[{"id":"n90","name":"제설·염화칼슘 살포 지원","kids":[],"t":{"min":60,"qty":2,"unit":"구역","freq":3,"per":"y","type":"work","g":"C","pick":true}},{"id":"n91","name":"시설 고장 접수·설비팀 연계","kids":[],"t":{"min":10,"qty":2,"unit":"건","freq":1,"per":"d","type":"work","g":"C","pick":true}}],"t":{"min":0,"qty":1,"unit":"회","freq":1,"per":"d","type":"work","g":"C"}},{"id":"n95","name":"업종별 특수 지원","kids":[{"id":"n93","name":"출퇴근 통근버스 통제","kids":[],"t":{"min":30,"qty":2,"unit":"회","freq":5,"per":"w","type":"work","g":"C","pick":true}},{"id":"n94","name":"협력업체 작업허가서 확인","kids":[],"t":{"min":5,"qty":10,"unit":"건","freq":5,"per":"w","type":"work","g":"C","pick":true}}],"t":{"min":0,"qty":1,"unit":"회","freq":1,"per":"d","type":"work","g":"C"}}],"t":{"min":0,"qty":1,"unit":"회","freq":1,"per":"d","type":"work","g":"C"}},{"id":"n101","name":"보고·행정·교육","kids":[{"id":"n97","name":"근무일지·인수인계","kids":[],"t":{"min":15,"qty":2,"unit":"개소","freq":3,"per":"d","type":"work","g":"C","pick":true}},{"id":"n98","name":"사건·사고 보고서 작성","kids":[],"t":{"min":30,"qty":1,"unit":"건","freq":6,"per":"m","type":"work","g":"C","pick":true}},{"id":"n99","name":"고객사 일일 업무보고","kids":[],"t":{"min":20,"qty":1,"unit":"회","freq":1,"per":"d","type":"work","g":"C","pick":true}},{"id":"n100","name":"경비원 직무교육·소방훈련 참여","kids":[],"t":{"min":240,"qty":1,"unit":"회","freq":1,"per":"q","type":"work","g":"C","pick":true}}],"t":{"min":0,"qty":1,"unit":"회","freq":1,"per":"d","type":"work","g":"C"}}],"params":{"days":30.4,"allow":15,"week":40,"loss":6,"wage":10700,"otH":0,"nightH":0,"allowance":0,"bonus":0,"pension":5,"health":3.595,"ltc":13.139999999999999,"emp":1.8499999999999999,"acc":0.86,"expense":430000,"mgmt":5,"profit":5,"plan":"precise","cFull":10,"cPartN":0,"cPartH":20}}}</t>
        </is>
      </c>
      <c r="B1" t="s">
        <v>234</v>
      </c>
      <c r="C1">
        <v>3583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ySplit="22" topLeftCell="A23" activePane="bottomLeft" state="frozen"/>
    </sheetView>
  </sheetViews>
  <sheetFormatPr defaultRowHeight="15"/>
  <cols>
    <col min="1" max="1" width="8" customWidth="1"/>
    <col min="2" max="2" width="14" customWidth="1"/>
    <col min="3" max="3" width="16" customWidth="1"/>
    <col min="4" max="4" width="34" customWidth="1"/>
    <col min="5" max="5" width="9" customWidth="1"/>
    <col min="6" max="6" width="6" customWidth="1"/>
    <col min="7" max="7" width="9" customWidth="1"/>
    <col min="8" max="8" width="8" customWidth="1"/>
    <col min="9" max="9" width="8" customWidth="1"/>
    <col min="10" max="10" width="6" customWidth="1"/>
    <col min="11" max="11" width="7" customWidth="1"/>
    <col min="12" max="12" width="8" customWidth="1"/>
    <col min="13" max="13" width="10" customWidth="1"/>
    <col min="14" max="14" width="10" customWidth="1"/>
    <col min="15" max="15" width="8" customWidth="1"/>
    <col min="16" max="16" width="10" customWidth="1"/>
    <col min="17" max="17" width="12" customWidth="1"/>
    <col min="18" max="18" width="12" customWidth="1"/>
    <col min="19" max="19" width="11" customWidth="1"/>
    <col min="20" max="20" width="11" customWidth="1"/>
    <col min="21" max="21" width="11" customWidth="1"/>
    <col min="22" max="22" width="12" customWidth="1"/>
    <col min="23" max="23" width="13" customWidth="1"/>
    <col min="24" max="24" width="11" customWidth="1"/>
    <col min="26" max="26" hidden="1" width="3" customWidth="1"/>
  </cols>
  <sheetData>
    <row r="1" ht="20" customHeight="1">
      <c r="A1" s="166" t="inlineStr">
        <is>
          <t xml:space="preserve">업무별 비용 배분 (견적서 기반)</t>
        </is>
      </c>
      <c r="X1" s="18" t="inlineStr">
        <is>
          <t xml:space="preserve">No. 261021-2703</t>
        </is>
      </c>
    </row>
    <row r="2" ht="16" customHeight="1">
      <c r="X2" s="19" t="inlineStr">
        <is>
          <t xml:space="preserve">작성일 2026. 10. 21</t>
        </is>
      </c>
    </row>
    <row r="3" ht="16" customHeight="1">
      <c r="A3" s="20" t="inlineStr">
        <is>
          <t xml:space="preserve">현대자동차 울산공장 정문 · 보안용역 도급업무 · 단위: 원, VAT 별도</t>
        </is>
      </c>
    </row>
    <row r="5" ht="20" customHeight="1">
      <c r="A5" s="167" t="inlineStr">
        <is>
          <t xml:space="preserve">■ 산정 요약</t>
        </is>
      </c>
      <c r="B5" s="167"/>
      <c r="C5" s="167"/>
      <c r="D5" s="167"/>
      <c r="N5" s="167" t="inlineStr">
        <is>
          <t xml:space="preserve">■ 견적 금액 구성 (월)</t>
        </is>
      </c>
      <c r="O5" s="167"/>
      <c r="P5" s="167"/>
      <c r="Q5" s="167"/>
      <c r="R5" s="167"/>
    </row>
    <row r="6">
      <c r="A6" s="98" t="inlineStr">
        <is>
          <t xml:space="preserve">산정 방식</t>
        </is>
      </c>
      <c r="B6" s="98"/>
      <c r="C6" s="98"/>
      <c r="D6" s="100" t="inlineStr">
        <is>
          <t xml:space="preserve">B. 견적서 기반 업무별 비용 산정</t>
        </is>
      </c>
      <c r="N6" s="98" t="inlineStr">
        <is>
          <t xml:space="preserve">직접노무비 ① (산출내역서 40행)</t>
        </is>
      </c>
      <c r="O6" s="98"/>
      <c r="P6" s="98"/>
      <c r="Q6" s="99">
        <v>45852180</v>
      </c>
      <c r="R6" s="174">
        <v>0.8054</v>
      </c>
    </row>
    <row r="7">
      <c r="A7" s="98" t="inlineStr">
        <is>
          <t xml:space="preserve">사업장 유형 · 직종</t>
        </is>
      </c>
      <c r="B7" s="98"/>
      <c r="C7" s="98"/>
      <c r="D7" s="100" t="inlineStr">
        <is>
          <t xml:space="preserve">공장 · 보안</t>
        </is>
      </c>
      <c r="N7" s="98" t="inlineStr">
        <is>
          <t xml:space="preserve">간접노무비 ② (산출내역서 50행)</t>
        </is>
      </c>
      <c r="O7" s="98"/>
      <c r="P7" s="98"/>
      <c r="Q7" s="99">
        <v>5634050</v>
      </c>
      <c r="R7" s="174">
        <v>0.099</v>
      </c>
    </row>
    <row r="8">
      <c r="A8" s="98" t="inlineStr">
        <is>
          <t xml:space="preserve">견적 연도</t>
        </is>
      </c>
      <c r="B8" s="98"/>
      <c r="C8" s="98"/>
      <c r="D8" s="100" t="inlineStr">
        <is>
          <t xml:space="preserve">2027년</t>
        </is>
      </c>
      <c r="N8" s="98" t="inlineStr">
        <is>
          <t xml:space="preserve">경비 (산출내역서 61행)</t>
        </is>
      </c>
      <c r="O8" s="98"/>
      <c r="P8" s="98"/>
      <c r="Q8" s="99">
        <v>1728110</v>
      </c>
      <c r="R8" s="174">
        <v>0.0304</v>
      </c>
    </row>
    <row r="9">
      <c r="A9" s="98" t="inlineStr">
        <is>
          <t xml:space="preserve">월 총 업무시간 (h)</t>
        </is>
      </c>
      <c r="B9" s="98"/>
      <c r="C9" s="98"/>
      <c r="D9" s="171">
        <v>1752.4397</v>
      </c>
      <c r="N9" s="98" t="inlineStr">
        <is>
          <t xml:space="preserve">일반관리비 (산출내역서 63행)</t>
        </is>
      </c>
      <c r="O9" s="98"/>
      <c r="P9" s="98"/>
      <c r="Q9" s="99">
        <v>2660790</v>
      </c>
      <c r="R9" s="174">
        <v>0.0467</v>
      </c>
    </row>
    <row r="10">
      <c r="A10" s="98" t="inlineStr">
        <is>
          <t xml:space="preserve">업무량 기준 필요 인원 (명)</t>
        </is>
      </c>
      <c r="B10" s="98"/>
      <c r="C10" s="98"/>
      <c r="D10" s="171">
        <v>10.7261</v>
      </c>
      <c r="N10" s="98" t="inlineStr">
        <is>
          <t xml:space="preserve">기업이윤 · 단수조정 (65행 + 견적단가 1,000원 미만 절사)</t>
        </is>
      </c>
      <c r="O10" s="98"/>
      <c r="P10" s="98"/>
      <c r="Q10" s="99">
        <v>1052870</v>
      </c>
      <c r="R10" s="174">
        <v>0.0185</v>
      </c>
    </row>
    <row r="11">
      <c r="A11" s="98" t="inlineStr">
        <is>
          <t xml:space="preserve">견적 인원 (명)</t>
        </is>
      </c>
      <c r="B11" s="98"/>
      <c r="C11" s="98"/>
      <c r="D11" s="99">
        <v>13</v>
      </c>
      <c r="N11" s="148" t="inlineStr">
        <is>
          <t xml:space="preserve">월 합계 (= 견적서 월 합계)</t>
        </is>
      </c>
      <c r="O11" s="148"/>
      <c r="P11" s="148"/>
      <c r="Q11" s="149">
        <f>SUM(Q6:Q10)</f>
        <v>56928000</v>
      </c>
      <c r="R11" s="176">
        <v>1</v>
      </c>
    </row>
    <row r="12">
      <c r="A12" s="98" t="inlineStr">
        <is>
          <t xml:space="preserve">견적 인원 월 근무시간 (h)</t>
        </is>
      </c>
      <c r="B12" s="98"/>
      <c r="C12" s="98"/>
      <c r="D12" s="171">
        <v>2584.2167</v>
      </c>
    </row>
    <row r="13">
      <c r="A13" s="98" t="inlineStr">
        <is>
          <t xml:space="preserve">1인 업무부하 (업무시간 ÷ 근무시간)</t>
        </is>
      </c>
      <c r="B13" s="98"/>
      <c r="C13" s="98"/>
      <c r="D13" s="174">
        <v>0.6781</v>
      </c>
    </row>
    <row r="14">
      <c r="A14" s="98" t="inlineStr">
        <is>
          <t xml:space="preserve">견적 월 합계 (원)</t>
        </is>
      </c>
      <c r="B14" s="98"/>
      <c r="C14" s="98"/>
      <c r="D14" s="99">
        <v>56928000</v>
      </c>
    </row>
    <row r="15">
      <c r="A15" s="98" t="inlineStr">
        <is>
          <t xml:space="preserve">계약기간 총액 (원)</t>
        </is>
      </c>
      <c r="B15" s="98"/>
      <c r="C15" s="98"/>
      <c r="D15" s="99">
        <v>683136000</v>
      </c>
    </row>
    <row r="16">
      <c r="A16" s="98" t="inlineStr">
        <is>
          <t xml:space="preserve">시간당 단가 (월 합계 ÷ 월 업무시간)</t>
        </is>
      </c>
      <c r="B16" s="98"/>
      <c r="C16" s="98"/>
      <c r="D16" s="99">
        <v>32484.9974</v>
      </c>
    </row>
    <row r="17">
      <c r="A17" s="98" t="inlineStr">
        <is>
          <t xml:space="preserve">원 견적 인원 (명)</t>
        </is>
      </c>
      <c r="B17" s="98"/>
      <c r="C17" s="98"/>
      <c r="D17" s="99">
        <v>13</v>
      </c>
    </row>
    <row r="18">
      <c r="A18" s="98" t="inlineStr">
        <is>
          <t xml:space="preserve">수행 가능 업무량 (원 견적 인원 기준)</t>
        </is>
      </c>
      <c r="B18" s="98"/>
      <c r="C18" s="98"/>
      <c r="D18" s="174">
        <v>1</v>
      </c>
    </row>
    <row r="19">
      <c r="A19" s="98" t="inlineStr">
        <is>
          <t xml:space="preserve">부족 인력 (명)</t>
        </is>
      </c>
      <c r="B19" s="98"/>
      <c r="C19" s="98"/>
      <c r="D19" s="171">
        <v>0</v>
      </c>
    </row>
    <row r="20">
      <c r="A20" s="98" t="inlineStr">
        <is>
          <t xml:space="preserve">부족 인력 반영</t>
        </is>
      </c>
      <c r="B20" s="98"/>
      <c r="C20" s="98"/>
      <c r="D20" s="100" t="inlineStr">
        <is>
          <t xml:space="preserve">해당 없음</t>
        </is>
      </c>
    </row>
    <row r="22" ht="30" customHeight="1">
      <c r="A22" s="167" t="inlineStr">
        <is>
          <t xml:space="preserve">코드</t>
        </is>
      </c>
      <c r="B22" s="167" t="inlineStr">
        <is>
          <t xml:space="preserve">대분류</t>
        </is>
      </c>
      <c r="C22" s="167" t="inlineStr">
        <is>
          <t xml:space="preserve">중분류</t>
        </is>
      </c>
      <c r="D22" s="167" t="inlineStr">
        <is>
          <t xml:space="preserve">업무명</t>
        </is>
      </c>
      <c r="E22" s="167" t="inlineStr">
        <is>
          <t xml:space="preserve">구분</t>
        </is>
      </c>
      <c r="F22" s="167" t="inlineStr">
        <is>
          <t xml:space="preserve">투입</t>
        </is>
      </c>
      <c r="G22" s="167" t="inlineStr">
        <is>
          <t xml:space="preserve">단위시간(분)</t>
        </is>
      </c>
      <c r="H22" s="167" t="inlineStr">
        <is>
          <t xml:space="preserve">수량</t>
        </is>
      </c>
      <c r="I22" s="167" t="inlineStr">
        <is>
          <t xml:space="preserve">단위</t>
        </is>
      </c>
      <c r="J22" s="167" t="inlineStr">
        <is>
          <t xml:space="preserve">빈도</t>
        </is>
      </c>
      <c r="K22" s="167" t="inlineStr">
        <is>
          <t xml:space="preserve">주기</t>
        </is>
      </c>
      <c r="L22" s="167" t="inlineStr">
        <is>
          <t xml:space="preserve">월 횟수</t>
        </is>
      </c>
      <c r="M22" s="167" t="inlineStr">
        <is>
          <t xml:space="preserve">월 업무시간(h)</t>
        </is>
      </c>
      <c r="N22" s="167" t="inlineStr">
        <is>
          <t xml:space="preserve">연 업무시간(h)</t>
        </is>
      </c>
      <c r="O22" s="167" t="inlineStr">
        <is>
          <t xml:space="preserve">시간 비중</t>
        </is>
      </c>
      <c r="P22" s="167" t="inlineStr">
        <is>
          <t xml:space="preserve">시간당 단가</t>
        </is>
      </c>
      <c r="Q22" s="167" t="inlineStr">
        <is>
          <t xml:space="preserve">직접노무비</t>
        </is>
      </c>
      <c r="R22" s="167" t="inlineStr">
        <is>
          <t xml:space="preserve">간접노무비</t>
        </is>
      </c>
      <c r="S22" s="167" t="inlineStr">
        <is>
          <t xml:space="preserve">경비</t>
        </is>
      </c>
      <c r="T22" s="167" t="inlineStr">
        <is>
          <t xml:space="preserve">일반관리비</t>
        </is>
      </c>
      <c r="U22" s="167" t="inlineStr">
        <is>
          <t xml:space="preserve">이윤·단수</t>
        </is>
      </c>
      <c r="V22" s="167" t="inlineStr">
        <is>
          <t xml:space="preserve">월 배분액</t>
        </is>
      </c>
      <c r="W22" s="167" t="inlineStr">
        <is>
          <t xml:space="preserve">연 배분액</t>
        </is>
      </c>
      <c r="X22" s="167" t="inlineStr">
        <is>
          <t xml:space="preserve">단위당 단가</t>
        </is>
      </c>
    </row>
    <row r="23">
      <c r="A23" s="105" t="inlineStr">
        <is>
          <t xml:space="preserve">A</t>
        </is>
      </c>
      <c r="B23" s="105" t="inlineStr">
        <is>
          <t xml:space="preserve">출입통제</t>
        </is>
      </c>
      <c r="C23" s="105" t="inlineStr">
        <is>
          <t xml:space="preserve"/>
        </is>
      </c>
      <c r="D23" s="105" t="inlineStr">
        <is>
          <t xml:space="preserve"/>
        </is>
      </c>
      <c r="E23" s="105" t="inlineStr">
        <is>
          <t xml:space="preserve">19개 업무</t>
        </is>
      </c>
      <c r="F23" s="105" t="inlineStr">
        <is>
          <t xml:space="preserve"/>
        </is>
      </c>
      <c r="G23" s="105"/>
      <c r="H23" s="105"/>
      <c r="I23" s="105"/>
      <c r="J23" s="105"/>
      <c r="K23" s="105"/>
      <c r="L23" s="105"/>
      <c r="M23" s="172">
        <v>1009.0451</v>
      </c>
      <c r="N23" s="172">
        <v>12108.5417</v>
      </c>
      <c r="O23" s="175">
        <v>0.5758</v>
      </c>
      <c r="P23" s="106">
        <v>32484.9967</v>
      </c>
      <c r="Q23" s="106">
        <v>26401432</v>
      </c>
      <c r="R23" s="106">
        <v>3244055</v>
      </c>
      <c r="S23" s="106">
        <v>995035</v>
      </c>
      <c r="T23" s="106">
        <v>1532069</v>
      </c>
      <c r="U23" s="106">
        <v>606237</v>
      </c>
      <c r="V23" s="106">
        <f>SUM(Q23:U23)</f>
        <v>32778828</v>
      </c>
      <c r="W23" s="106">
        <f>V23*12</f>
        <v>393345936</v>
      </c>
      <c r="X23" s="105"/>
      <c r="Z23">
        <v>0</v>
      </c>
    </row>
    <row r="24">
      <c r="A24" s="105" t="inlineStr">
        <is>
          <t xml:space="preserve">A1</t>
        </is>
      </c>
      <c r="B24" s="105" t="inlineStr">
        <is>
          <t xml:space="preserve">출입통제</t>
        </is>
      </c>
      <c r="C24" s="105" t="inlineStr">
        <is>
          <t xml:space="preserve">정문 초소</t>
        </is>
      </c>
      <c r="D24" s="105" t="inlineStr">
        <is>
          <t xml:space="preserve"/>
        </is>
      </c>
      <c r="E24" s="105" t="inlineStr">
        <is>
          <t xml:space="preserve">13개 업무</t>
        </is>
      </c>
      <c r="F24" s="105" t="inlineStr">
        <is>
          <t xml:space="preserve"/>
        </is>
      </c>
      <c r="G24" s="105"/>
      <c r="H24" s="105"/>
      <c r="I24" s="105"/>
      <c r="J24" s="105"/>
      <c r="K24" s="105"/>
      <c r="L24" s="105"/>
      <c r="M24" s="172">
        <v>729.6</v>
      </c>
      <c r="N24" s="172">
        <v>8755.2</v>
      </c>
      <c r="O24" s="175">
        <v>0.4163</v>
      </c>
      <c r="P24" s="106">
        <v>32484.9959</v>
      </c>
      <c r="Q24" s="106">
        <v>19089815</v>
      </c>
      <c r="R24" s="106">
        <v>2345646</v>
      </c>
      <c r="S24" s="106">
        <v>719469</v>
      </c>
      <c r="T24" s="106">
        <v>1107777</v>
      </c>
      <c r="U24" s="106">
        <v>438346</v>
      </c>
      <c r="V24" s="106">
        <f>SUM(Q24:U24)</f>
        <v>23701053</v>
      </c>
      <c r="W24" s="106">
        <f>V24*12</f>
        <v>284412636</v>
      </c>
      <c r="X24" s="105"/>
      <c r="Z24">
        <v>0</v>
      </c>
    </row>
    <row r="25">
      <c r="A25" s="98" t="inlineStr">
        <is>
          <t xml:space="preserve">A1-1</t>
        </is>
      </c>
      <c r="B25" s="98" t="inlineStr">
        <is>
          <t xml:space="preserve">출입통제</t>
        </is>
      </c>
      <c r="C25" s="98" t="inlineStr">
        <is>
          <t xml:space="preserve">정문 초소</t>
        </is>
      </c>
      <c r="D25" s="98" t="inlineStr">
        <is>
          <t xml:space="preserve">정문 상주 근무 (24시간 경계·대기)</t>
        </is>
      </c>
      <c r="E25" s="98" t="inlineStr">
        <is>
          <t xml:space="preserve">상주(잔여)</t>
        </is>
      </c>
      <c r="F25" s="98" t="inlineStr">
        <is>
          <t xml:space="preserve">공통</t>
        </is>
      </c>
      <c r="G25" s="171">
        <v>1440</v>
      </c>
      <c r="H25" s="99">
        <v>1</v>
      </c>
      <c r="I25" s="98" t="inlineStr">
        <is>
          <t xml:space="preserve">개소</t>
        </is>
      </c>
      <c r="J25" s="171">
        <v>1</v>
      </c>
      <c r="K25" s="98" t="inlineStr">
        <is>
          <t xml:space="preserve">매일</t>
        </is>
      </c>
      <c r="L25" s="171">
        <v>30.4</v>
      </c>
      <c r="M25" s="171">
        <v>427.7787</v>
      </c>
      <c r="N25" s="171">
        <v>5133.344</v>
      </c>
      <c r="O25" s="174">
        <v>0.2441</v>
      </c>
      <c r="P25" s="99">
        <v>32484.9977</v>
      </c>
      <c r="Q25" s="99">
        <v>11192730</v>
      </c>
      <c r="R25" s="99">
        <v>1375298</v>
      </c>
      <c r="S25" s="99">
        <v>421840</v>
      </c>
      <c r="T25" s="99">
        <v>649511</v>
      </c>
      <c r="U25" s="99">
        <v>257010</v>
      </c>
      <c r="V25" s="99">
        <f>SUM(Q25:U25)</f>
        <v>13896389</v>
      </c>
      <c r="W25" s="99">
        <f>V25*12</f>
        <v>166756668</v>
      </c>
      <c r="X25" s="99">
        <v>457118.0592</v>
      </c>
      <c r="Z25">
        <v>1</v>
      </c>
    </row>
    <row r="26">
      <c r="A26" s="98" t="inlineStr">
        <is>
          <t xml:space="preserve">A1-2-a</t>
        </is>
      </c>
      <c r="B26" s="98" t="inlineStr">
        <is>
          <t xml:space="preserve">출입통제</t>
        </is>
      </c>
      <c r="C26" s="98" t="inlineStr">
        <is>
          <t xml:space="preserve">정문 초소</t>
        </is>
      </c>
      <c r="D26" s="98" t="inlineStr">
        <is>
          <t xml:space="preserve">입문 차량 확인·출입 기록</t>
        </is>
      </c>
      <c r="E26" s="98" t="inlineStr">
        <is>
          <t xml:space="preserve">작업</t>
        </is>
      </c>
      <c r="F26" s="98" t="inlineStr">
        <is>
          <t xml:space="preserve">공통</t>
        </is>
      </c>
      <c r="G26" s="171">
        <v>0.5</v>
      </c>
      <c r="H26" s="99">
        <v>108</v>
      </c>
      <c r="I26" s="98" t="inlineStr">
        <is>
          <t xml:space="preserve">대</t>
        </is>
      </c>
      <c r="J26" s="171">
        <v>1</v>
      </c>
      <c r="K26" s="98" t="inlineStr">
        <is>
          <t xml:space="preserve">매일</t>
        </is>
      </c>
      <c r="L26" s="171">
        <v>3283.2</v>
      </c>
      <c r="M26" s="171">
        <v>31.464</v>
      </c>
      <c r="N26" s="171">
        <v>377.568</v>
      </c>
      <c r="O26" s="174">
        <v>0.018</v>
      </c>
      <c r="P26" s="99">
        <v>32484.9987</v>
      </c>
      <c r="Q26" s="99">
        <v>823248</v>
      </c>
      <c r="R26" s="99">
        <v>101156</v>
      </c>
      <c r="S26" s="99">
        <v>31027</v>
      </c>
      <c r="T26" s="99">
        <v>47773</v>
      </c>
      <c r="U26" s="99">
        <v>18904</v>
      </c>
      <c r="V26" s="99">
        <f>SUM(Q26:U26)</f>
        <v>1022108</v>
      </c>
      <c r="W26" s="99">
        <f>V26*12</f>
        <v>12265296</v>
      </c>
      <c r="X26" s="99">
        <v>311.3146</v>
      </c>
      <c r="Z26">
        <v>1</v>
      </c>
    </row>
    <row r="27">
      <c r="A27" s="98" t="inlineStr">
        <is>
          <t xml:space="preserve">A1-2-b</t>
        </is>
      </c>
      <c r="B27" s="98" t="inlineStr">
        <is>
          <t xml:space="preserve">출입통제</t>
        </is>
      </c>
      <c r="C27" s="98" t="inlineStr">
        <is>
          <t xml:space="preserve">정문 초소</t>
        </is>
      </c>
      <c r="D27" s="98" t="inlineStr">
        <is>
          <t xml:space="preserve">출문 차량 적재물 확인</t>
        </is>
      </c>
      <c r="E27" s="98" t="inlineStr">
        <is>
          <t xml:space="preserve">작업</t>
        </is>
      </c>
      <c r="F27" s="98" t="inlineStr">
        <is>
          <t xml:space="preserve">공통</t>
        </is>
      </c>
      <c r="G27" s="171">
        <v>1</v>
      </c>
      <c r="H27" s="99">
        <v>54</v>
      </c>
      <c r="I27" s="98" t="inlineStr">
        <is>
          <t xml:space="preserve">대</t>
        </is>
      </c>
      <c r="J27" s="171">
        <v>1</v>
      </c>
      <c r="K27" s="98" t="inlineStr">
        <is>
          <t xml:space="preserve">매일</t>
        </is>
      </c>
      <c r="L27" s="171">
        <v>1641.6</v>
      </c>
      <c r="M27" s="171">
        <v>31.464</v>
      </c>
      <c r="N27" s="171">
        <v>377.568</v>
      </c>
      <c r="O27" s="174">
        <v>0.018</v>
      </c>
      <c r="P27" s="99">
        <v>32484.9987</v>
      </c>
      <c r="Q27" s="99">
        <v>823248</v>
      </c>
      <c r="R27" s="99">
        <v>101156</v>
      </c>
      <c r="S27" s="99">
        <v>31027</v>
      </c>
      <c r="T27" s="99">
        <v>47773</v>
      </c>
      <c r="U27" s="99">
        <v>18904</v>
      </c>
      <c r="V27" s="99">
        <f>SUM(Q27:U27)</f>
        <v>1022108</v>
      </c>
      <c r="W27" s="99">
        <f>V27*12</f>
        <v>12265296</v>
      </c>
      <c r="X27" s="99">
        <v>622.6291</v>
      </c>
      <c r="Z27">
        <v>1</v>
      </c>
    </row>
    <row r="28">
      <c r="A28" s="98" t="inlineStr">
        <is>
          <t xml:space="preserve">A1-2-c</t>
        </is>
      </c>
      <c r="B28" s="98" t="inlineStr">
        <is>
          <t xml:space="preserve">출입통제</t>
        </is>
      </c>
      <c r="C28" s="98" t="inlineStr">
        <is>
          <t xml:space="preserve">정문 초소</t>
        </is>
      </c>
      <c r="D28" s="98" t="inlineStr">
        <is>
          <t xml:space="preserve">협력업체·납품차량 출입 통제</t>
        </is>
      </c>
      <c r="E28" s="98" t="inlineStr">
        <is>
          <t xml:space="preserve">작업</t>
        </is>
      </c>
      <c r="F28" s="98" t="inlineStr">
        <is>
          <t xml:space="preserve">공통</t>
        </is>
      </c>
      <c r="G28" s="171">
        <v>3</v>
      </c>
      <c r="H28" s="99">
        <v>18</v>
      </c>
      <c r="I28" s="98" t="inlineStr">
        <is>
          <t xml:space="preserve">대</t>
        </is>
      </c>
      <c r="J28" s="171">
        <v>1</v>
      </c>
      <c r="K28" s="98" t="inlineStr">
        <is>
          <t xml:space="preserve">매일</t>
        </is>
      </c>
      <c r="L28" s="171">
        <v>547.2</v>
      </c>
      <c r="M28" s="171">
        <v>31.464</v>
      </c>
      <c r="N28" s="171">
        <v>377.568</v>
      </c>
      <c r="O28" s="174">
        <v>0.018</v>
      </c>
      <c r="P28" s="99">
        <v>32484.9987</v>
      </c>
      <c r="Q28" s="99">
        <v>823248</v>
      </c>
      <c r="R28" s="99">
        <v>101156</v>
      </c>
      <c r="S28" s="99">
        <v>31027</v>
      </c>
      <c r="T28" s="99">
        <v>47773</v>
      </c>
      <c r="U28" s="99">
        <v>18904</v>
      </c>
      <c r="V28" s="99">
        <f>SUM(Q28:U28)</f>
        <v>1022108</v>
      </c>
      <c r="W28" s="99">
        <f>V28*12</f>
        <v>12265296</v>
      </c>
      <c r="X28" s="99">
        <v>1867.8874</v>
      </c>
      <c r="Z28">
        <v>1</v>
      </c>
    </row>
    <row r="29">
      <c r="A29" s="98" t="inlineStr">
        <is>
          <t xml:space="preserve">A1-2-d</t>
        </is>
      </c>
      <c r="B29" s="98" t="inlineStr">
        <is>
          <t xml:space="preserve">출입통제</t>
        </is>
      </c>
      <c r="C29" s="98" t="inlineStr">
        <is>
          <t xml:space="preserve">정문 초소</t>
        </is>
      </c>
      <c r="D29" s="98" t="inlineStr">
        <is>
          <t xml:space="preserve">긴급·관공서 차량 우선 통행 안내</t>
        </is>
      </c>
      <c r="E29" s="98" t="inlineStr">
        <is>
          <t xml:space="preserve">작업</t>
        </is>
      </c>
      <c r="F29" s="98" t="inlineStr">
        <is>
          <t xml:space="preserve">공통</t>
        </is>
      </c>
      <c r="G29" s="171">
        <v>3</v>
      </c>
      <c r="H29" s="99">
        <v>2</v>
      </c>
      <c r="I29" s="98" t="inlineStr">
        <is>
          <t xml:space="preserve">대</t>
        </is>
      </c>
      <c r="J29" s="171">
        <v>1</v>
      </c>
      <c r="K29" s="98" t="inlineStr">
        <is>
          <t xml:space="preserve">매일</t>
        </is>
      </c>
      <c r="L29" s="171">
        <v>60.8</v>
      </c>
      <c r="M29" s="171">
        <v>3.496</v>
      </c>
      <c r="N29" s="171">
        <v>41.952</v>
      </c>
      <c r="O29" s="174">
        <v>0.002</v>
      </c>
      <c r="P29" s="99">
        <v>32484.8398</v>
      </c>
      <c r="Q29" s="99">
        <v>91472</v>
      </c>
      <c r="R29" s="99">
        <v>11240</v>
      </c>
      <c r="S29" s="99">
        <v>3447</v>
      </c>
      <c r="T29" s="99">
        <v>5308</v>
      </c>
      <c r="U29" s="99">
        <v>2100</v>
      </c>
      <c r="V29" s="99">
        <f>SUM(Q29:U29)</f>
        <v>113567</v>
      </c>
      <c r="W29" s="99">
        <f>V29*12</f>
        <v>1362804</v>
      </c>
      <c r="X29" s="99">
        <v>1867.8783</v>
      </c>
      <c r="Z29">
        <v>1</v>
      </c>
    </row>
    <row r="30">
      <c r="A30" s="98" t="inlineStr">
        <is>
          <t xml:space="preserve">A1-3-a</t>
        </is>
      </c>
      <c r="B30" s="98" t="inlineStr">
        <is>
          <t xml:space="preserve">출입통제</t>
        </is>
      </c>
      <c r="C30" s="98" t="inlineStr">
        <is>
          <t xml:space="preserve">정문 초소</t>
        </is>
      </c>
      <c r="D30" s="98" t="inlineStr">
        <is>
          <t xml:space="preserve">방문객 신원확인·출입증 발급</t>
        </is>
      </c>
      <c r="E30" s="98" t="inlineStr">
        <is>
          <t xml:space="preserve">작업</t>
        </is>
      </c>
      <c r="F30" s="98" t="inlineStr">
        <is>
          <t xml:space="preserve">공통</t>
        </is>
      </c>
      <c r="G30" s="171">
        <v>2</v>
      </c>
      <c r="H30" s="99">
        <v>60</v>
      </c>
      <c r="I30" s="98" t="inlineStr">
        <is>
          <t xml:space="preserve">명</t>
        </is>
      </c>
      <c r="J30" s="171">
        <v>1</v>
      </c>
      <c r="K30" s="98" t="inlineStr">
        <is>
          <t xml:space="preserve">매일</t>
        </is>
      </c>
      <c r="L30" s="171">
        <v>1824</v>
      </c>
      <c r="M30" s="171">
        <v>69.92</v>
      </c>
      <c r="N30" s="171">
        <v>839.04</v>
      </c>
      <c r="O30" s="174">
        <v>0.0399</v>
      </c>
      <c r="P30" s="99">
        <v>32484.9971</v>
      </c>
      <c r="Q30" s="99">
        <v>1829441</v>
      </c>
      <c r="R30" s="99">
        <v>224791</v>
      </c>
      <c r="S30" s="99">
        <v>68949</v>
      </c>
      <c r="T30" s="99">
        <v>106162</v>
      </c>
      <c r="U30" s="99">
        <v>42008</v>
      </c>
      <c r="V30" s="99">
        <f>SUM(Q30:U30)</f>
        <v>2271351</v>
      </c>
      <c r="W30" s="99">
        <f>V30*12</f>
        <v>27256212</v>
      </c>
      <c r="X30" s="99">
        <v>1245.2582</v>
      </c>
      <c r="Z30">
        <v>1</v>
      </c>
    </row>
    <row r="31">
      <c r="A31" s="98" t="inlineStr">
        <is>
          <t xml:space="preserve">A1-3-b</t>
        </is>
      </c>
      <c r="B31" s="98" t="inlineStr">
        <is>
          <t xml:space="preserve">출입통제</t>
        </is>
      </c>
      <c r="C31" s="98" t="inlineStr">
        <is>
          <t xml:space="preserve">정문 초소</t>
        </is>
      </c>
      <c r="D31" s="98" t="inlineStr">
        <is>
          <t xml:space="preserve">출입증 회수·방문 대장 정리</t>
        </is>
      </c>
      <c r="E31" s="98" t="inlineStr">
        <is>
          <t xml:space="preserve">작업</t>
        </is>
      </c>
      <c r="F31" s="98" t="inlineStr">
        <is>
          <t xml:space="preserve">공통</t>
        </is>
      </c>
      <c r="G31" s="171">
        <v>0.5</v>
      </c>
      <c r="H31" s="99">
        <v>60</v>
      </c>
      <c r="I31" s="98" t="inlineStr">
        <is>
          <t xml:space="preserve">명</t>
        </is>
      </c>
      <c r="J31" s="171">
        <v>1</v>
      </c>
      <c r="K31" s="98" t="inlineStr">
        <is>
          <t xml:space="preserve">매일</t>
        </is>
      </c>
      <c r="L31" s="171">
        <v>1824</v>
      </c>
      <c r="M31" s="171">
        <v>17.48</v>
      </c>
      <c r="N31" s="171">
        <v>209.76</v>
      </c>
      <c r="O31" s="174">
        <v>0.01</v>
      </c>
      <c r="P31" s="99">
        <v>32485.0114</v>
      </c>
      <c r="Q31" s="99">
        <v>457360</v>
      </c>
      <c r="R31" s="99">
        <v>56198</v>
      </c>
      <c r="S31" s="99">
        <v>17237</v>
      </c>
      <c r="T31" s="99">
        <v>26541</v>
      </c>
      <c r="U31" s="99">
        <v>10502</v>
      </c>
      <c r="V31" s="99">
        <f>SUM(Q31:U31)</f>
        <v>567838</v>
      </c>
      <c r="W31" s="99">
        <f>V31*12</f>
        <v>6814056</v>
      </c>
      <c r="X31" s="99">
        <v>311.3147</v>
      </c>
      <c r="Z31">
        <v>1</v>
      </c>
    </row>
    <row r="32">
      <c r="A32" s="98" t="inlineStr">
        <is>
          <t xml:space="preserve">A1-3-c</t>
        </is>
      </c>
      <c r="B32" s="98" t="inlineStr">
        <is>
          <t xml:space="preserve">출입통제</t>
        </is>
      </c>
      <c r="C32" s="98" t="inlineStr">
        <is>
          <t xml:space="preserve">정문 초소</t>
        </is>
      </c>
      <c r="D32" s="98" t="inlineStr">
        <is>
          <t xml:space="preserve">사전 방문예약 확인·접견자 연락</t>
        </is>
      </c>
      <c r="E32" s="98" t="inlineStr">
        <is>
          <t xml:space="preserve">작업</t>
        </is>
      </c>
      <c r="F32" s="98" t="inlineStr">
        <is>
          <t xml:space="preserve">공통</t>
        </is>
      </c>
      <c r="G32" s="171">
        <v>1</v>
      </c>
      <c r="H32" s="99">
        <v>24</v>
      </c>
      <c r="I32" s="98" t="inlineStr">
        <is>
          <t xml:space="preserve">건</t>
        </is>
      </c>
      <c r="J32" s="171">
        <v>1</v>
      </c>
      <c r="K32" s="98" t="inlineStr">
        <is>
          <t xml:space="preserve">매일</t>
        </is>
      </c>
      <c r="L32" s="171">
        <v>729.6</v>
      </c>
      <c r="M32" s="171">
        <v>13.984</v>
      </c>
      <c r="N32" s="171">
        <v>167.808</v>
      </c>
      <c r="O32" s="174">
        <v>0.008</v>
      </c>
      <c r="P32" s="99">
        <v>32484.9828</v>
      </c>
      <c r="Q32" s="99">
        <v>365888</v>
      </c>
      <c r="R32" s="99">
        <v>44958</v>
      </c>
      <c r="S32" s="99">
        <v>13790</v>
      </c>
      <c r="T32" s="99">
        <v>21232</v>
      </c>
      <c r="U32" s="99">
        <v>8402</v>
      </c>
      <c r="V32" s="99">
        <f>SUM(Q32:U32)</f>
        <v>454270</v>
      </c>
      <c r="W32" s="99">
        <f>V32*12</f>
        <v>5451240</v>
      </c>
      <c r="X32" s="99">
        <v>622.6288</v>
      </c>
      <c r="Z32">
        <v>1</v>
      </c>
    </row>
    <row r="33">
      <c r="A33" s="98" t="inlineStr">
        <is>
          <t xml:space="preserve">A1-4-a</t>
        </is>
      </c>
      <c r="B33" s="98" t="inlineStr">
        <is>
          <t xml:space="preserve">출입통제</t>
        </is>
      </c>
      <c r="C33" s="98" t="inlineStr">
        <is>
          <t xml:space="preserve">정문 초소</t>
        </is>
      </c>
      <c r="D33" s="98" t="inlineStr">
        <is>
          <t xml:space="preserve">반출입증 확인·물품 대조</t>
        </is>
      </c>
      <c r="E33" s="98" t="inlineStr">
        <is>
          <t xml:space="preserve">작업</t>
        </is>
      </c>
      <c r="F33" s="98" t="inlineStr">
        <is>
          <t xml:space="preserve">공통</t>
        </is>
      </c>
      <c r="G33" s="171">
        <v>3</v>
      </c>
      <c r="H33" s="99">
        <v>14</v>
      </c>
      <c r="I33" s="98" t="inlineStr">
        <is>
          <t xml:space="preserve">건</t>
        </is>
      </c>
      <c r="J33" s="171">
        <v>1</v>
      </c>
      <c r="K33" s="98" t="inlineStr">
        <is>
          <t xml:space="preserve">매일</t>
        </is>
      </c>
      <c r="L33" s="171">
        <v>425.6</v>
      </c>
      <c r="M33" s="171">
        <v>24.472</v>
      </c>
      <c r="N33" s="171">
        <v>293.664</v>
      </c>
      <c r="O33" s="174">
        <v>0.014</v>
      </c>
      <c r="P33" s="99">
        <v>32485.0033</v>
      </c>
      <c r="Q33" s="99">
        <v>640304</v>
      </c>
      <c r="R33" s="99">
        <v>78677</v>
      </c>
      <c r="S33" s="99">
        <v>24132</v>
      </c>
      <c r="T33" s="99">
        <v>37157</v>
      </c>
      <c r="U33" s="99">
        <v>14703</v>
      </c>
      <c r="V33" s="99">
        <f>SUM(Q33:U33)</f>
        <v>794973</v>
      </c>
      <c r="W33" s="99">
        <f>V33*12</f>
        <v>9539676</v>
      </c>
      <c r="X33" s="99">
        <v>1867.8877</v>
      </c>
      <c r="Z33">
        <v>1</v>
      </c>
    </row>
    <row r="34">
      <c r="A34" s="98" t="inlineStr">
        <is>
          <t xml:space="preserve">A1-4-b</t>
        </is>
      </c>
      <c r="B34" s="98" t="inlineStr">
        <is>
          <t xml:space="preserve">출입통제</t>
        </is>
      </c>
      <c r="C34" s="98" t="inlineStr">
        <is>
          <t xml:space="preserve">정문 초소</t>
        </is>
      </c>
      <c r="D34" s="98" t="inlineStr">
        <is>
          <t xml:space="preserve">반입 금지물품(화기·위험물) 검색</t>
        </is>
      </c>
      <c r="E34" s="98" t="inlineStr">
        <is>
          <t xml:space="preserve">작업</t>
        </is>
      </c>
      <c r="F34" s="98" t="inlineStr">
        <is>
          <t xml:space="preserve">공통</t>
        </is>
      </c>
      <c r="G34" s="171">
        <v>1</v>
      </c>
      <c r="H34" s="99">
        <v>60</v>
      </c>
      <c r="I34" s="98" t="inlineStr">
        <is>
          <t xml:space="preserve">명</t>
        </is>
      </c>
      <c r="J34" s="171">
        <v>1</v>
      </c>
      <c r="K34" s="98" t="inlineStr">
        <is>
          <t xml:space="preserve">매일</t>
        </is>
      </c>
      <c r="L34" s="171">
        <v>1824</v>
      </c>
      <c r="M34" s="171">
        <v>34.96</v>
      </c>
      <c r="N34" s="171">
        <v>419.52</v>
      </c>
      <c r="O34" s="174">
        <v>0.0199</v>
      </c>
      <c r="P34" s="99">
        <v>32484.9828</v>
      </c>
      <c r="Q34" s="99">
        <v>914720</v>
      </c>
      <c r="R34" s="99">
        <v>112395</v>
      </c>
      <c r="S34" s="99">
        <v>34475</v>
      </c>
      <c r="T34" s="99">
        <v>53081</v>
      </c>
      <c r="U34" s="99">
        <v>21004</v>
      </c>
      <c r="V34" s="99">
        <f>SUM(Q34:U34)</f>
        <v>1135675</v>
      </c>
      <c r="W34" s="99">
        <f>V34*12</f>
        <v>13628100</v>
      </c>
      <c r="X34" s="99">
        <v>622.6288</v>
      </c>
      <c r="Z34">
        <v>1</v>
      </c>
    </row>
    <row r="35">
      <c r="A35" s="98" t="inlineStr">
        <is>
          <t xml:space="preserve">A1-5-a</t>
        </is>
      </c>
      <c r="B35" s="98" t="inlineStr">
        <is>
          <t xml:space="preserve">출입통제</t>
        </is>
      </c>
      <c r="C35" s="98" t="inlineStr">
        <is>
          <t xml:space="preserve">정문 초소</t>
        </is>
      </c>
      <c r="D35" s="98" t="inlineStr">
        <is>
          <t xml:space="preserve">택배 수령·보관 등록</t>
        </is>
      </c>
      <c r="E35" s="98" t="inlineStr">
        <is>
          <t xml:space="preserve">작업</t>
        </is>
      </c>
      <c r="F35" s="98" t="inlineStr">
        <is>
          <t xml:space="preserve">공통</t>
        </is>
      </c>
      <c r="G35" s="171">
        <v>1</v>
      </c>
      <c r="H35" s="99">
        <v>40</v>
      </c>
      <c r="I35" s="98" t="inlineStr">
        <is>
          <t xml:space="preserve">건</t>
        </is>
      </c>
      <c r="J35" s="171">
        <v>1</v>
      </c>
      <c r="K35" s="98" t="inlineStr">
        <is>
          <t xml:space="preserve">매일</t>
        </is>
      </c>
      <c r="L35" s="171">
        <v>1216</v>
      </c>
      <c r="M35" s="171">
        <v>23.3067</v>
      </c>
      <c r="N35" s="171">
        <v>279.68</v>
      </c>
      <c r="O35" s="174">
        <v>0.0133</v>
      </c>
      <c r="P35" s="99">
        <v>32484.9971</v>
      </c>
      <c r="Q35" s="99">
        <v>609814</v>
      </c>
      <c r="R35" s="99">
        <v>74930</v>
      </c>
      <c r="S35" s="99">
        <v>22983</v>
      </c>
      <c r="T35" s="99">
        <v>35387</v>
      </c>
      <c r="U35" s="99">
        <v>14003</v>
      </c>
      <c r="V35" s="99">
        <f>SUM(Q35:U35)</f>
        <v>757117</v>
      </c>
      <c r="W35" s="99">
        <f>V35*12</f>
        <v>9085404</v>
      </c>
      <c r="X35" s="99">
        <v>622.6291</v>
      </c>
      <c r="Z35">
        <v>1</v>
      </c>
    </row>
    <row r="36">
      <c r="A36" s="98" t="inlineStr">
        <is>
          <t xml:space="preserve">A1-5-b</t>
        </is>
      </c>
      <c r="B36" s="98" t="inlineStr">
        <is>
          <t xml:space="preserve">출입통제</t>
        </is>
      </c>
      <c r="C36" s="98" t="inlineStr">
        <is>
          <t xml:space="preserve">정문 초소</t>
        </is>
      </c>
      <c r="D36" s="98" t="inlineStr">
        <is>
          <t xml:space="preserve">수령자 연락·인계 확인</t>
        </is>
      </c>
      <c r="E36" s="98" t="inlineStr">
        <is>
          <t xml:space="preserve">작업</t>
        </is>
      </c>
      <c r="F36" s="98" t="inlineStr">
        <is>
          <t xml:space="preserve">공통</t>
        </is>
      </c>
      <c r="G36" s="171">
        <v>0.7</v>
      </c>
      <c r="H36" s="99">
        <v>40</v>
      </c>
      <c r="I36" s="98" t="inlineStr">
        <is>
          <t xml:space="preserve">건</t>
        </is>
      </c>
      <c r="J36" s="171">
        <v>1</v>
      </c>
      <c r="K36" s="98" t="inlineStr">
        <is>
          <t xml:space="preserve">매일</t>
        </is>
      </c>
      <c r="L36" s="171">
        <v>1216</v>
      </c>
      <c r="M36" s="171">
        <v>16.3147</v>
      </c>
      <c r="N36" s="171">
        <v>195.776</v>
      </c>
      <c r="O36" s="174">
        <v>0.0093</v>
      </c>
      <c r="P36" s="99">
        <v>32485.0033</v>
      </c>
      <c r="Q36" s="99">
        <v>426870</v>
      </c>
      <c r="R36" s="99">
        <v>52451</v>
      </c>
      <c r="S36" s="99">
        <v>16088</v>
      </c>
      <c r="T36" s="99">
        <v>24771</v>
      </c>
      <c r="U36" s="99">
        <v>9802</v>
      </c>
      <c r="V36" s="99">
        <f>SUM(Q36:U36)</f>
        <v>529982</v>
      </c>
      <c r="W36" s="99">
        <f>V36*12</f>
        <v>6359784</v>
      </c>
      <c r="X36" s="99">
        <v>435.8405</v>
      </c>
      <c r="Z36">
        <v>1</v>
      </c>
    </row>
    <row r="37">
      <c r="A37" s="98" t="inlineStr">
        <is>
          <t xml:space="preserve">A1-5-c</t>
        </is>
      </c>
      <c r="B37" s="98" t="inlineStr">
        <is>
          <t xml:space="preserve">출입통제</t>
        </is>
      </c>
      <c r="C37" s="98" t="inlineStr">
        <is>
          <t xml:space="preserve">정문 초소</t>
        </is>
      </c>
      <c r="D37" s="98" t="inlineStr">
        <is>
          <t xml:space="preserve">등기·우편물 분류</t>
        </is>
      </c>
      <c r="E37" s="98" t="inlineStr">
        <is>
          <t xml:space="preserve">작업</t>
        </is>
      </c>
      <c r="F37" s="98" t="inlineStr">
        <is>
          <t xml:space="preserve">공통</t>
        </is>
      </c>
      <c r="G37" s="171">
        <v>0.5</v>
      </c>
      <c r="H37" s="99">
        <v>12</v>
      </c>
      <c r="I37" s="98" t="inlineStr">
        <is>
          <t xml:space="preserve">건</t>
        </is>
      </c>
      <c r="J37" s="171">
        <v>1</v>
      </c>
      <c r="K37" s="98" t="inlineStr">
        <is>
          <t xml:space="preserve">매일</t>
        </is>
      </c>
      <c r="L37" s="171">
        <v>364.8</v>
      </c>
      <c r="M37" s="171">
        <v>3.496</v>
      </c>
      <c r="N37" s="171">
        <v>41.952</v>
      </c>
      <c r="O37" s="174">
        <v>0.002</v>
      </c>
      <c r="P37" s="99">
        <v>32484.8398</v>
      </c>
      <c r="Q37" s="99">
        <v>91472</v>
      </c>
      <c r="R37" s="99">
        <v>11240</v>
      </c>
      <c r="S37" s="99">
        <v>3447</v>
      </c>
      <c r="T37" s="99">
        <v>5308</v>
      </c>
      <c r="U37" s="99">
        <v>2100</v>
      </c>
      <c r="V37" s="99">
        <f>SUM(Q37:U37)</f>
        <v>113567</v>
      </c>
      <c r="W37" s="99">
        <f>V37*12</f>
        <v>1362804</v>
      </c>
      <c r="X37" s="99">
        <v>311.313</v>
      </c>
      <c r="Z37">
        <v>1</v>
      </c>
    </row>
    <row r="38">
      <c r="A38" s="105" t="inlineStr">
        <is>
          <t xml:space="preserve">A2</t>
        </is>
      </c>
      <c r="B38" s="105" t="inlineStr">
        <is>
          <t xml:space="preserve">출입통제</t>
        </is>
      </c>
      <c r="C38" s="105" t="inlineStr">
        <is>
          <t xml:space="preserve">후문·부출입구</t>
        </is>
      </c>
      <c r="D38" s="105" t="inlineStr">
        <is>
          <t xml:space="preserve"/>
        </is>
      </c>
      <c r="E38" s="105" t="inlineStr">
        <is>
          <t xml:space="preserve">3개 업무</t>
        </is>
      </c>
      <c r="F38" s="105" t="inlineStr">
        <is>
          <t xml:space="preserve"/>
        </is>
      </c>
      <c r="G38" s="105"/>
      <c r="H38" s="105"/>
      <c r="I38" s="105"/>
      <c r="J38" s="105"/>
      <c r="K38" s="105"/>
      <c r="L38" s="105"/>
      <c r="M38" s="172">
        <v>260.7143</v>
      </c>
      <c r="N38" s="172">
        <v>3128.5714</v>
      </c>
      <c r="O38" s="175">
        <v>0.1488</v>
      </c>
      <c r="P38" s="106">
        <v>32484.994</v>
      </c>
      <c r="Q38" s="106">
        <v>6821529</v>
      </c>
      <c r="R38" s="106">
        <v>838189</v>
      </c>
      <c r="S38" s="106">
        <v>257095</v>
      </c>
      <c r="T38" s="106">
        <v>395852</v>
      </c>
      <c r="U38" s="106">
        <v>156637</v>
      </c>
      <c r="V38" s="106">
        <f>SUM(Q38:U38)</f>
        <v>8469302</v>
      </c>
      <c r="W38" s="106">
        <f>V38*12</f>
        <v>101631624</v>
      </c>
      <c r="X38" s="105"/>
      <c r="Z38">
        <v>0</v>
      </c>
    </row>
    <row r="39">
      <c r="A39" s="98" t="inlineStr">
        <is>
          <t xml:space="preserve">A2-1</t>
        </is>
      </c>
      <c r="B39" s="98" t="inlineStr">
        <is>
          <t xml:space="preserve">출입통제</t>
        </is>
      </c>
      <c r="C39" s="98" t="inlineStr">
        <is>
          <t xml:space="preserve">후문·부출입구</t>
        </is>
      </c>
      <c r="D39" s="98" t="inlineStr">
        <is>
          <t xml:space="preserve">후문 주간 상주 (07~19시)</t>
        </is>
      </c>
      <c r="E39" s="98" t="inlineStr">
        <is>
          <t xml:space="preserve">상주(잔여)</t>
        </is>
      </c>
      <c r="F39" s="98" t="inlineStr">
        <is>
          <t xml:space="preserve">공통</t>
        </is>
      </c>
      <c r="G39" s="171">
        <v>720</v>
      </c>
      <c r="H39" s="99">
        <v>1</v>
      </c>
      <c r="I39" s="98" t="inlineStr">
        <is>
          <t xml:space="preserve">개소</t>
        </is>
      </c>
      <c r="J39" s="171">
        <v>5</v>
      </c>
      <c r="K39" s="98" t="inlineStr">
        <is>
          <t xml:space="preserve">매주</t>
        </is>
      </c>
      <c r="L39" s="171">
        <v>21.7262</v>
      </c>
      <c r="M39" s="171">
        <v>224.0758</v>
      </c>
      <c r="N39" s="171">
        <v>2688.91</v>
      </c>
      <c r="O39" s="174">
        <v>0.1279</v>
      </c>
      <c r="P39" s="99">
        <v>32484.9935</v>
      </c>
      <c r="Q39" s="99">
        <v>5862892</v>
      </c>
      <c r="R39" s="99">
        <v>720398</v>
      </c>
      <c r="S39" s="99">
        <v>220965</v>
      </c>
      <c r="T39" s="99">
        <v>340222</v>
      </c>
      <c r="U39" s="99">
        <v>134625</v>
      </c>
      <c r="V39" s="99">
        <f>SUM(Q39:U39)</f>
        <v>7279102</v>
      </c>
      <c r="W39" s="99">
        <f>V39*12</f>
        <v>87349224</v>
      </c>
      <c r="X39" s="99">
        <v>335038.1195</v>
      </c>
      <c r="Z39">
        <v>1</v>
      </c>
    </row>
    <row r="40">
      <c r="A40" s="98" t="inlineStr">
        <is>
          <t xml:space="preserve">A2-2</t>
        </is>
      </c>
      <c r="B40" s="98" t="inlineStr">
        <is>
          <t xml:space="preserve">출입통제</t>
        </is>
      </c>
      <c r="C40" s="98" t="inlineStr">
        <is>
          <t xml:space="preserve">후문·부출입구</t>
        </is>
      </c>
      <c r="D40" s="98" t="inlineStr">
        <is>
          <t xml:space="preserve">출퇴근 시간 출입 통제</t>
        </is>
      </c>
      <c r="E40" s="98" t="inlineStr">
        <is>
          <t xml:space="preserve">작업</t>
        </is>
      </c>
      <c r="F40" s="98" t="inlineStr">
        <is>
          <t xml:space="preserve">공통</t>
        </is>
      </c>
      <c r="G40" s="171">
        <v>30</v>
      </c>
      <c r="H40" s="99">
        <v>1</v>
      </c>
      <c r="I40" s="98" t="inlineStr">
        <is>
          <t xml:space="preserve">개소</t>
        </is>
      </c>
      <c r="J40" s="171">
        <v>10</v>
      </c>
      <c r="K40" s="98" t="inlineStr">
        <is>
          <t xml:space="preserve">매주</t>
        </is>
      </c>
      <c r="L40" s="171">
        <v>43.4524</v>
      </c>
      <c r="M40" s="171">
        <v>24.9851</v>
      </c>
      <c r="N40" s="171">
        <v>299.8214</v>
      </c>
      <c r="O40" s="174">
        <v>0.0143</v>
      </c>
      <c r="P40" s="99">
        <v>32484.9763</v>
      </c>
      <c r="Q40" s="99">
        <v>653730</v>
      </c>
      <c r="R40" s="99">
        <v>80326</v>
      </c>
      <c r="S40" s="99">
        <v>24638</v>
      </c>
      <c r="T40" s="99">
        <v>37936</v>
      </c>
      <c r="U40" s="99">
        <v>15011</v>
      </c>
      <c r="V40" s="99">
        <f>SUM(Q40:U40)</f>
        <v>811641</v>
      </c>
      <c r="W40" s="99">
        <f>V40*12</f>
        <v>9739692</v>
      </c>
      <c r="X40" s="99">
        <v>18678.8614</v>
      </c>
      <c r="Z40">
        <v>1</v>
      </c>
    </row>
    <row r="41">
      <c r="A41" s="98" t="inlineStr">
        <is>
          <t xml:space="preserve">A2-3</t>
        </is>
      </c>
      <c r="B41" s="98" t="inlineStr">
        <is>
          <t xml:space="preserve">출입통제</t>
        </is>
      </c>
      <c r="C41" s="98" t="inlineStr">
        <is>
          <t xml:space="preserve">후문·부출입구</t>
        </is>
      </c>
      <c r="D41" s="98" t="inlineStr">
        <is>
          <t xml:space="preserve">야간 출입문 시건·개방</t>
        </is>
      </c>
      <c r="E41" s="98" t="inlineStr">
        <is>
          <t xml:space="preserve">작업</t>
        </is>
      </c>
      <c r="F41" s="98" t="inlineStr">
        <is>
          <t xml:space="preserve">공통</t>
        </is>
      </c>
      <c r="G41" s="171">
        <v>10</v>
      </c>
      <c r="H41" s="99">
        <v>1</v>
      </c>
      <c r="I41" s="98" t="inlineStr">
        <is>
          <t xml:space="preserve">개소</t>
        </is>
      </c>
      <c r="J41" s="171">
        <v>2</v>
      </c>
      <c r="K41" s="98" t="inlineStr">
        <is>
          <t xml:space="preserve">매일</t>
        </is>
      </c>
      <c r="L41" s="171">
        <v>60.8</v>
      </c>
      <c r="M41" s="171">
        <v>11.6533</v>
      </c>
      <c r="N41" s="171">
        <v>139.84</v>
      </c>
      <c r="O41" s="174">
        <v>0.0066</v>
      </c>
      <c r="P41" s="99">
        <v>32485.04</v>
      </c>
      <c r="Q41" s="99">
        <v>304907</v>
      </c>
      <c r="R41" s="99">
        <v>37465</v>
      </c>
      <c r="S41" s="99">
        <v>11492</v>
      </c>
      <c r="T41" s="99">
        <v>17694</v>
      </c>
      <c r="U41" s="99">
        <v>7001</v>
      </c>
      <c r="V41" s="99">
        <f>SUM(Q41:U41)</f>
        <v>378559</v>
      </c>
      <c r="W41" s="99">
        <f>V41*12</f>
        <v>4542708</v>
      </c>
      <c r="X41" s="99">
        <v>6226.2993</v>
      </c>
      <c r="Z41">
        <v>1</v>
      </c>
    </row>
    <row r="42">
      <c r="A42" s="105" t="inlineStr">
        <is>
          <t xml:space="preserve">A3</t>
        </is>
      </c>
      <c r="B42" s="105" t="inlineStr">
        <is>
          <t xml:space="preserve">출입통제</t>
        </is>
      </c>
      <c r="C42" s="105" t="inlineStr">
        <is>
          <t xml:space="preserve">출입보안시스템</t>
        </is>
      </c>
      <c r="D42" s="105" t="inlineStr">
        <is>
          <t xml:space="preserve"/>
        </is>
      </c>
      <c r="E42" s="105" t="inlineStr">
        <is>
          <t xml:space="preserve">3개 업무</t>
        </is>
      </c>
      <c r="F42" s="105" t="inlineStr">
        <is>
          <t xml:space="preserve"/>
        </is>
      </c>
      <c r="G42" s="105"/>
      <c r="H42" s="105"/>
      <c r="I42" s="105"/>
      <c r="J42" s="105"/>
      <c r="K42" s="105"/>
      <c r="L42" s="105"/>
      <c r="M42" s="172">
        <v>18.7309</v>
      </c>
      <c r="N42" s="172">
        <v>224.7702</v>
      </c>
      <c r="O42" s="175">
        <v>0.0107</v>
      </c>
      <c r="P42" s="106">
        <v>32485.0659</v>
      </c>
      <c r="Q42" s="106">
        <v>490088</v>
      </c>
      <c r="R42" s="106">
        <v>60220</v>
      </c>
      <c r="S42" s="106">
        <v>18471</v>
      </c>
      <c r="T42" s="106">
        <v>28440</v>
      </c>
      <c r="U42" s="106">
        <v>11254</v>
      </c>
      <c r="V42" s="106">
        <f>SUM(Q42:U42)</f>
        <v>608473</v>
      </c>
      <c r="W42" s="106">
        <f>V42*12</f>
        <v>7301676</v>
      </c>
      <c r="X42" s="105"/>
      <c r="Z42">
        <v>0</v>
      </c>
    </row>
    <row r="43">
      <c r="A43" s="98" t="inlineStr">
        <is>
          <t xml:space="preserve">A3-1</t>
        </is>
      </c>
      <c r="B43" s="98" t="inlineStr">
        <is>
          <t xml:space="preserve">출입통제</t>
        </is>
      </c>
      <c r="C43" s="98" t="inlineStr">
        <is>
          <t xml:space="preserve">출입보안시스템</t>
        </is>
      </c>
      <c r="D43" s="98" t="inlineStr">
        <is>
          <t xml:space="preserve">출입카드 발급·회수·분실 처리</t>
        </is>
      </c>
      <c r="E43" s="98" t="inlineStr">
        <is>
          <t xml:space="preserve">작업</t>
        </is>
      </c>
      <c r="F43" s="98" t="inlineStr">
        <is>
          <t xml:space="preserve">공통</t>
        </is>
      </c>
      <c r="G43" s="171">
        <v>5</v>
      </c>
      <c r="H43" s="99">
        <v>10</v>
      </c>
      <c r="I43" s="98" t="inlineStr">
        <is>
          <t xml:space="preserve">건</t>
        </is>
      </c>
      <c r="J43" s="171">
        <v>1</v>
      </c>
      <c r="K43" s="98" t="inlineStr">
        <is>
          <t xml:space="preserve">매주</t>
        </is>
      </c>
      <c r="L43" s="171">
        <v>43.4524</v>
      </c>
      <c r="M43" s="171">
        <v>4.1642</v>
      </c>
      <c r="N43" s="171">
        <v>49.9702</v>
      </c>
      <c r="O43" s="174">
        <v>0.0024</v>
      </c>
      <c r="P43" s="99">
        <v>32485.0964</v>
      </c>
      <c r="Q43" s="99">
        <v>108955</v>
      </c>
      <c r="R43" s="99">
        <v>13388</v>
      </c>
      <c r="S43" s="99">
        <v>4106</v>
      </c>
      <c r="T43" s="99">
        <v>6323</v>
      </c>
      <c r="U43" s="99">
        <v>2502</v>
      </c>
      <c r="V43" s="99">
        <f>SUM(Q43:U43)</f>
        <v>135274</v>
      </c>
      <c r="W43" s="99">
        <f>V43*12</f>
        <v>1623288</v>
      </c>
      <c r="X43" s="99">
        <v>3113.1551</v>
      </c>
      <c r="Z43">
        <v>1</v>
      </c>
    </row>
    <row r="44">
      <c r="A44" s="98" t="inlineStr">
        <is>
          <t xml:space="preserve">A3-2</t>
        </is>
      </c>
      <c r="B44" s="98" t="inlineStr">
        <is>
          <t xml:space="preserve">출입통제</t>
        </is>
      </c>
      <c r="C44" s="98" t="inlineStr">
        <is>
          <t xml:space="preserve">출입보안시스템</t>
        </is>
      </c>
      <c r="D44" s="98" t="inlineStr">
        <is>
          <t xml:space="preserve">출입기록 확인·이상 출입 조치</t>
        </is>
      </c>
      <c r="E44" s="98" t="inlineStr">
        <is>
          <t xml:space="preserve">작업</t>
        </is>
      </c>
      <c r="F44" s="98" t="inlineStr">
        <is>
          <t xml:space="preserve">공통</t>
        </is>
      </c>
      <c r="G44" s="171">
        <v>15</v>
      </c>
      <c r="H44" s="99">
        <v>1</v>
      </c>
      <c r="I44" s="98" t="inlineStr">
        <is>
          <t xml:space="preserve">회</t>
        </is>
      </c>
      <c r="J44" s="171">
        <v>1</v>
      </c>
      <c r="K44" s="98" t="inlineStr">
        <is>
          <t xml:space="preserve">매일</t>
        </is>
      </c>
      <c r="L44" s="171">
        <v>30.4</v>
      </c>
      <c r="M44" s="171">
        <v>8.74</v>
      </c>
      <c r="N44" s="171">
        <v>104.88</v>
      </c>
      <c r="O44" s="174">
        <v>0.005</v>
      </c>
      <c r="P44" s="99">
        <v>32485.0114</v>
      </c>
      <c r="Q44" s="99">
        <v>228680</v>
      </c>
      <c r="R44" s="99">
        <v>28099</v>
      </c>
      <c r="S44" s="99">
        <v>8619</v>
      </c>
      <c r="T44" s="99">
        <v>13270</v>
      </c>
      <c r="U44" s="99">
        <v>5251</v>
      </c>
      <c r="V44" s="99">
        <f>SUM(Q44:U44)</f>
        <v>283919</v>
      </c>
      <c r="W44" s="99">
        <f>V44*12</f>
        <v>3407028</v>
      </c>
      <c r="X44" s="99">
        <v>9339.4408</v>
      </c>
      <c r="Z44">
        <v>1</v>
      </c>
    </row>
    <row r="45">
      <c r="A45" s="98" t="inlineStr">
        <is>
          <t xml:space="preserve">A3-3</t>
        </is>
      </c>
      <c r="B45" s="98" t="inlineStr">
        <is>
          <t xml:space="preserve">출입통제</t>
        </is>
      </c>
      <c r="C45" s="98" t="inlineStr">
        <is>
          <t xml:space="preserve">출입보안시스템</t>
        </is>
      </c>
      <c r="D45" s="98" t="inlineStr">
        <is>
          <t xml:space="preserve">스피드게이트·출입통제기 작동 확인</t>
        </is>
      </c>
      <c r="E45" s="98" t="inlineStr">
        <is>
          <t xml:space="preserve">작업</t>
        </is>
      </c>
      <c r="F45" s="98" t="inlineStr">
        <is>
          <t xml:space="preserve">공통</t>
        </is>
      </c>
      <c r="G45" s="171">
        <v>5</v>
      </c>
      <c r="H45" s="99">
        <v>2</v>
      </c>
      <c r="I45" s="98" t="inlineStr">
        <is>
          <t xml:space="preserve">대</t>
        </is>
      </c>
      <c r="J45" s="171">
        <v>1</v>
      </c>
      <c r="K45" s="98" t="inlineStr">
        <is>
          <t xml:space="preserve">매일</t>
        </is>
      </c>
      <c r="L45" s="171">
        <v>60.8</v>
      </c>
      <c r="M45" s="171">
        <v>5.8267</v>
      </c>
      <c r="N45" s="171">
        <v>69.92</v>
      </c>
      <c r="O45" s="174">
        <v>0.0033</v>
      </c>
      <c r="P45" s="99">
        <v>32485.1259</v>
      </c>
      <c r="Q45" s="99">
        <v>152453</v>
      </c>
      <c r="R45" s="99">
        <v>18733</v>
      </c>
      <c r="S45" s="99">
        <v>5746</v>
      </c>
      <c r="T45" s="99">
        <v>8847</v>
      </c>
      <c r="U45" s="99">
        <v>3501</v>
      </c>
      <c r="V45" s="99">
        <f>SUM(Q45:U45)</f>
        <v>189280</v>
      </c>
      <c r="W45" s="99">
        <f>V45*12</f>
        <v>2271360</v>
      </c>
      <c r="X45" s="99">
        <v>3113.1579</v>
      </c>
      <c r="Z45">
        <v>1</v>
      </c>
    </row>
    <row r="46">
      <c r="A46" s="105" t="inlineStr">
        <is>
          <t xml:space="preserve">B</t>
        </is>
      </c>
      <c r="B46" s="105" t="inlineStr">
        <is>
          <t xml:space="preserve">순찰</t>
        </is>
      </c>
      <c r="C46" s="105" t="inlineStr">
        <is>
          <t xml:space="preserve"/>
        </is>
      </c>
      <c r="D46" s="105" t="inlineStr">
        <is>
          <t xml:space="preserve"/>
        </is>
      </c>
      <c r="E46" s="105" t="inlineStr">
        <is>
          <t xml:space="preserve">7개 업무</t>
        </is>
      </c>
      <c r="F46" s="105" t="inlineStr">
        <is>
          <t xml:space="preserve"/>
        </is>
      </c>
      <c r="G46" s="105"/>
      <c r="H46" s="105"/>
      <c r="I46" s="105"/>
      <c r="J46" s="105"/>
      <c r="K46" s="105"/>
      <c r="L46" s="105"/>
      <c r="M46" s="172">
        <v>417.956</v>
      </c>
      <c r="N46" s="172">
        <v>5015.472</v>
      </c>
      <c r="O46" s="175">
        <v>0.2385</v>
      </c>
      <c r="P46" s="106">
        <v>32484.9984</v>
      </c>
      <c r="Q46" s="106">
        <v>10935722</v>
      </c>
      <c r="R46" s="106">
        <v>1343718</v>
      </c>
      <c r="S46" s="106">
        <v>412154</v>
      </c>
      <c r="T46" s="106">
        <v>634597</v>
      </c>
      <c r="U46" s="106">
        <v>251109</v>
      </c>
      <c r="V46" s="106">
        <f>SUM(Q46:U46)</f>
        <v>13577300</v>
      </c>
      <c r="W46" s="106">
        <f>V46*12</f>
        <v>162927600</v>
      </c>
      <c r="X46" s="105"/>
      <c r="Z46">
        <v>0</v>
      </c>
    </row>
    <row r="47">
      <c r="A47" s="105" t="inlineStr">
        <is>
          <t xml:space="preserve">B1</t>
        </is>
      </c>
      <c r="B47" s="105" t="inlineStr">
        <is>
          <t xml:space="preserve">순찰</t>
        </is>
      </c>
      <c r="C47" s="105" t="inlineStr">
        <is>
          <t xml:space="preserve">정기순찰</t>
        </is>
      </c>
      <c r="D47" s="105" t="inlineStr">
        <is>
          <t xml:space="preserve"/>
        </is>
      </c>
      <c r="E47" s="105" t="inlineStr">
        <is>
          <t xml:space="preserve">4개 업무</t>
        </is>
      </c>
      <c r="F47" s="105" t="inlineStr">
        <is>
          <t xml:space="preserve"/>
        </is>
      </c>
      <c r="G47" s="105"/>
      <c r="H47" s="105"/>
      <c r="I47" s="105"/>
      <c r="J47" s="105"/>
      <c r="K47" s="105"/>
      <c r="L47" s="105"/>
      <c r="M47" s="172">
        <v>318.136</v>
      </c>
      <c r="N47" s="172">
        <v>3817.632</v>
      </c>
      <c r="O47" s="175">
        <v>0.1815</v>
      </c>
      <c r="P47" s="106">
        <v>32485.0001</v>
      </c>
      <c r="Q47" s="106">
        <v>8323954</v>
      </c>
      <c r="R47" s="106">
        <v>1022800</v>
      </c>
      <c r="S47" s="106">
        <v>313720</v>
      </c>
      <c r="T47" s="106">
        <v>483037</v>
      </c>
      <c r="U47" s="106">
        <v>191137</v>
      </c>
      <c r="V47" s="106">
        <f>SUM(Q47:U47)</f>
        <v>10334648</v>
      </c>
      <c r="W47" s="106">
        <f>V47*12</f>
        <v>124015776</v>
      </c>
      <c r="X47" s="105"/>
      <c r="Z47">
        <v>0</v>
      </c>
    </row>
    <row r="48">
      <c r="A48" s="98" t="inlineStr">
        <is>
          <t xml:space="preserve">B1-1</t>
        </is>
      </c>
      <c r="B48" s="98" t="inlineStr">
        <is>
          <t xml:space="preserve">순찰</t>
        </is>
      </c>
      <c r="C48" s="98" t="inlineStr">
        <is>
          <t xml:space="preserve">정기순찰</t>
        </is>
      </c>
      <c r="D48" s="98" t="inlineStr">
        <is>
          <t xml:space="preserve">외곽 울타리·담장 순찰</t>
        </is>
      </c>
      <c r="E48" s="98" t="inlineStr">
        <is>
          <t xml:space="preserve">작업</t>
        </is>
      </c>
      <c r="F48" s="98" t="inlineStr">
        <is>
          <t xml:space="preserve">공통</t>
        </is>
      </c>
      <c r="G48" s="171">
        <v>30</v>
      </c>
      <c r="H48" s="99">
        <v>2</v>
      </c>
      <c r="I48" s="98" t="inlineStr">
        <is>
          <t xml:space="preserve">구역</t>
        </is>
      </c>
      <c r="J48" s="171">
        <v>4</v>
      </c>
      <c r="K48" s="98" t="inlineStr">
        <is>
          <t xml:space="preserve">매일</t>
        </is>
      </c>
      <c r="L48" s="171">
        <v>243.2</v>
      </c>
      <c r="M48" s="171">
        <v>139.84</v>
      </c>
      <c r="N48" s="171">
        <v>1678.08</v>
      </c>
      <c r="O48" s="174">
        <v>0.0798</v>
      </c>
      <c r="P48" s="99">
        <v>32484.9971</v>
      </c>
      <c r="Q48" s="99">
        <v>3658881</v>
      </c>
      <c r="R48" s="99">
        <v>449582</v>
      </c>
      <c r="S48" s="99">
        <v>137899</v>
      </c>
      <c r="T48" s="99">
        <v>212324</v>
      </c>
      <c r="U48" s="99">
        <v>84016</v>
      </c>
      <c r="V48" s="99">
        <f>SUM(Q48:U48)</f>
        <v>4542702</v>
      </c>
      <c r="W48" s="99">
        <f>V48*12</f>
        <v>54512424</v>
      </c>
      <c r="X48" s="99">
        <v>18678.8734</v>
      </c>
      <c r="Z48">
        <v>1</v>
      </c>
    </row>
    <row r="49">
      <c r="A49" s="98" t="inlineStr">
        <is>
          <t xml:space="preserve">B1-2</t>
        </is>
      </c>
      <c r="B49" s="98" t="inlineStr">
        <is>
          <t xml:space="preserve">순찰</t>
        </is>
      </c>
      <c r="C49" s="98" t="inlineStr">
        <is>
          <t xml:space="preserve">정기순찰</t>
        </is>
      </c>
      <c r="D49" s="98" t="inlineStr">
        <is>
          <t xml:space="preserve">건물 내부 층별 순찰</t>
        </is>
      </c>
      <c r="E49" s="98" t="inlineStr">
        <is>
          <t xml:space="preserve">작업</t>
        </is>
      </c>
      <c r="F49" s="98" t="inlineStr">
        <is>
          <t xml:space="preserve">공통</t>
        </is>
      </c>
      <c r="G49" s="171">
        <v>5</v>
      </c>
      <c r="H49" s="99">
        <v>18</v>
      </c>
      <c r="I49" s="98" t="inlineStr">
        <is>
          <t xml:space="preserve">층</t>
        </is>
      </c>
      <c r="J49" s="171">
        <v>2</v>
      </c>
      <c r="K49" s="98" t="inlineStr">
        <is>
          <t xml:space="preserve">매일</t>
        </is>
      </c>
      <c r="L49" s="171">
        <v>1094.4</v>
      </c>
      <c r="M49" s="171">
        <v>104.88</v>
      </c>
      <c r="N49" s="171">
        <v>1258.56</v>
      </c>
      <c r="O49" s="174">
        <v>0.0598</v>
      </c>
      <c r="P49" s="99">
        <v>32485.0019</v>
      </c>
      <c r="Q49" s="99">
        <v>2744161</v>
      </c>
      <c r="R49" s="99">
        <v>337187</v>
      </c>
      <c r="S49" s="99">
        <v>103424</v>
      </c>
      <c r="T49" s="99">
        <v>159243</v>
      </c>
      <c r="U49" s="99">
        <v>63012</v>
      </c>
      <c r="V49" s="99">
        <f>SUM(Q49:U49)</f>
        <v>3407027</v>
      </c>
      <c r="W49" s="99">
        <f>V49*12</f>
        <v>40884324</v>
      </c>
      <c r="X49" s="99">
        <v>3113.146</v>
      </c>
      <c r="Z49">
        <v>1</v>
      </c>
    </row>
    <row r="50">
      <c r="A50" s="98" t="inlineStr">
        <is>
          <t xml:space="preserve">B1-3</t>
        </is>
      </c>
      <c r="B50" s="98" t="inlineStr">
        <is>
          <t xml:space="preserve">순찰</t>
        </is>
      </c>
      <c r="C50" s="98" t="inlineStr">
        <is>
          <t xml:space="preserve">정기순찰</t>
        </is>
      </c>
      <c r="D50" s="98" t="inlineStr">
        <is>
          <t xml:space="preserve">주차장 순찰</t>
        </is>
      </c>
      <c r="E50" s="98" t="inlineStr">
        <is>
          <t xml:space="preserve">작업</t>
        </is>
      </c>
      <c r="F50" s="98" t="inlineStr">
        <is>
          <t xml:space="preserve">공통</t>
        </is>
      </c>
      <c r="G50" s="171">
        <v>8</v>
      </c>
      <c r="H50" s="99">
        <v>3</v>
      </c>
      <c r="I50" s="98" t="inlineStr">
        <is>
          <t xml:space="preserve">구역</t>
        </is>
      </c>
      <c r="J50" s="171">
        <v>3</v>
      </c>
      <c r="K50" s="98" t="inlineStr">
        <is>
          <t xml:space="preserve">매일</t>
        </is>
      </c>
      <c r="L50" s="171">
        <v>273.6</v>
      </c>
      <c r="M50" s="171">
        <v>41.952</v>
      </c>
      <c r="N50" s="171">
        <v>503.424</v>
      </c>
      <c r="O50" s="174">
        <v>0.0239</v>
      </c>
      <c r="P50" s="99">
        <v>32485.0067</v>
      </c>
      <c r="Q50" s="99">
        <v>1097664</v>
      </c>
      <c r="R50" s="99">
        <v>134875</v>
      </c>
      <c r="S50" s="99">
        <v>41370</v>
      </c>
      <c r="T50" s="99">
        <v>63697</v>
      </c>
      <c r="U50" s="99">
        <v>25205</v>
      </c>
      <c r="V50" s="99">
        <f>SUM(Q50:U50)</f>
        <v>1362811</v>
      </c>
      <c r="W50" s="99">
        <f>V50*12</f>
        <v>16353732</v>
      </c>
      <c r="X50" s="99">
        <v>4981.0344</v>
      </c>
      <c r="Z50">
        <v>1</v>
      </c>
    </row>
    <row r="51">
      <c r="A51" s="98" t="inlineStr">
        <is>
          <t xml:space="preserve">B1-4</t>
        </is>
      </c>
      <c r="B51" s="98" t="inlineStr">
        <is>
          <t xml:space="preserve">순찰</t>
        </is>
      </c>
      <c r="C51" s="98" t="inlineStr">
        <is>
          <t xml:space="preserve">정기순찰</t>
        </is>
      </c>
      <c r="D51" s="98" t="inlineStr">
        <is>
          <t xml:space="preserve">야간 문단속·소등·전열기구 확인</t>
        </is>
      </c>
      <c r="E51" s="98" t="inlineStr">
        <is>
          <t xml:space="preserve">작업</t>
        </is>
      </c>
      <c r="F51" s="98" t="inlineStr">
        <is>
          <t xml:space="preserve">공통</t>
        </is>
      </c>
      <c r="G51" s="171">
        <v>3</v>
      </c>
      <c r="H51" s="99">
        <v>18</v>
      </c>
      <c r="I51" s="98" t="inlineStr">
        <is>
          <t xml:space="preserve">층</t>
        </is>
      </c>
      <c r="J51" s="171">
        <v>1</v>
      </c>
      <c r="K51" s="98" t="inlineStr">
        <is>
          <t xml:space="preserve">매일</t>
        </is>
      </c>
      <c r="L51" s="171">
        <v>547.2</v>
      </c>
      <c r="M51" s="171">
        <v>31.464</v>
      </c>
      <c r="N51" s="171">
        <v>377.568</v>
      </c>
      <c r="O51" s="174">
        <v>0.018</v>
      </c>
      <c r="P51" s="99">
        <v>32484.9987</v>
      </c>
      <c r="Q51" s="99">
        <v>823248</v>
      </c>
      <c r="R51" s="99">
        <v>101156</v>
      </c>
      <c r="S51" s="99">
        <v>31027</v>
      </c>
      <c r="T51" s="99">
        <v>47773</v>
      </c>
      <c r="U51" s="99">
        <v>18904</v>
      </c>
      <c r="V51" s="99">
        <f>SUM(Q51:U51)</f>
        <v>1022108</v>
      </c>
      <c r="W51" s="99">
        <f>V51*12</f>
        <v>12265296</v>
      </c>
      <c r="X51" s="99">
        <v>1867.8874</v>
      </c>
      <c r="Z51">
        <v>1</v>
      </c>
    </row>
    <row r="52">
      <c r="A52" s="105" t="inlineStr">
        <is>
          <t xml:space="preserve">B2</t>
        </is>
      </c>
      <c r="B52" s="105" t="inlineStr">
        <is>
          <t xml:space="preserve">순찰</t>
        </is>
      </c>
      <c r="C52" s="105" t="inlineStr">
        <is>
          <t xml:space="preserve">특별순찰</t>
        </is>
      </c>
      <c r="D52" s="105" t="inlineStr">
        <is>
          <t xml:space="preserve"/>
        </is>
      </c>
      <c r="E52" s="105" t="inlineStr">
        <is>
          <t xml:space="preserve">3개 업무</t>
        </is>
      </c>
      <c r="F52" s="105" t="inlineStr">
        <is>
          <t xml:space="preserve"/>
        </is>
      </c>
      <c r="G52" s="105"/>
      <c r="H52" s="105"/>
      <c r="I52" s="105"/>
      <c r="J52" s="105"/>
      <c r="K52" s="105"/>
      <c r="L52" s="105"/>
      <c r="M52" s="172">
        <v>99.82</v>
      </c>
      <c r="N52" s="172">
        <v>1197.84</v>
      </c>
      <c r="O52" s="175">
        <v>0.057</v>
      </c>
      <c r="P52" s="106">
        <v>32484.993</v>
      </c>
      <c r="Q52" s="106">
        <v>2611768</v>
      </c>
      <c r="R52" s="106">
        <v>320918</v>
      </c>
      <c r="S52" s="106">
        <v>98434</v>
      </c>
      <c r="T52" s="106">
        <v>151560</v>
      </c>
      <c r="U52" s="106">
        <v>59972</v>
      </c>
      <c r="V52" s="106">
        <f>SUM(Q52:U52)</f>
        <v>3242652</v>
      </c>
      <c r="W52" s="106">
        <f>V52*12</f>
        <v>38911824</v>
      </c>
      <c r="X52" s="105"/>
      <c r="Z52">
        <v>0</v>
      </c>
    </row>
    <row r="53">
      <c r="A53" s="98" t="inlineStr">
        <is>
          <t xml:space="preserve">B2-1</t>
        </is>
      </c>
      <c r="B53" s="98" t="inlineStr">
        <is>
          <t xml:space="preserve">순찰</t>
        </is>
      </c>
      <c r="C53" s="98" t="inlineStr">
        <is>
          <t xml:space="preserve">특별순찰</t>
        </is>
      </c>
      <c r="D53" s="98" t="inlineStr">
        <is>
          <t xml:space="preserve">취약지역·사각지대 집중 순찰</t>
        </is>
      </c>
      <c r="E53" s="98" t="inlineStr">
        <is>
          <t xml:space="preserve">작업</t>
        </is>
      </c>
      <c r="F53" s="98" t="inlineStr">
        <is>
          <t xml:space="preserve">공통</t>
        </is>
      </c>
      <c r="G53" s="171">
        <v>20</v>
      </c>
      <c r="H53" s="99">
        <v>3</v>
      </c>
      <c r="I53" s="98" t="inlineStr">
        <is>
          <t xml:space="preserve">개소</t>
        </is>
      </c>
      <c r="J53" s="171">
        <v>2</v>
      </c>
      <c r="K53" s="98" t="inlineStr">
        <is>
          <t xml:space="preserve">매일</t>
        </is>
      </c>
      <c r="L53" s="171">
        <v>182.4</v>
      </c>
      <c r="M53" s="171">
        <v>69.92</v>
      </c>
      <c r="N53" s="171">
        <v>839.04</v>
      </c>
      <c r="O53" s="174">
        <v>0.0399</v>
      </c>
      <c r="P53" s="99">
        <v>32484.9971</v>
      </c>
      <c r="Q53" s="99">
        <v>1829441</v>
      </c>
      <c r="R53" s="99">
        <v>224791</v>
      </c>
      <c r="S53" s="99">
        <v>68949</v>
      </c>
      <c r="T53" s="99">
        <v>106162</v>
      </c>
      <c r="U53" s="99">
        <v>42008</v>
      </c>
      <c r="V53" s="99">
        <f>SUM(Q53:U53)</f>
        <v>2271351</v>
      </c>
      <c r="W53" s="99">
        <f>V53*12</f>
        <v>27256212</v>
      </c>
      <c r="X53" s="99">
        <v>12452.5822</v>
      </c>
      <c r="Z53">
        <v>1</v>
      </c>
    </row>
    <row r="54">
      <c r="A54" s="98" t="inlineStr">
        <is>
          <t xml:space="preserve">B2-2</t>
        </is>
      </c>
      <c r="B54" s="98" t="inlineStr">
        <is>
          <t xml:space="preserve">순찰</t>
        </is>
      </c>
      <c r="C54" s="98" t="inlineStr">
        <is>
          <t xml:space="preserve">특별순찰</t>
        </is>
      </c>
      <c r="D54" s="98" t="inlineStr">
        <is>
          <t xml:space="preserve">휴일·공휴일 전수 점검</t>
        </is>
      </c>
      <c r="E54" s="98" t="inlineStr">
        <is>
          <t xml:space="preserve">작업</t>
        </is>
      </c>
      <c r="F54" s="98" t="inlineStr">
        <is>
          <t xml:space="preserve">공통</t>
        </is>
      </c>
      <c r="G54" s="171">
        <v>30</v>
      </c>
      <c r="H54" s="99">
        <v>6</v>
      </c>
      <c r="I54" s="98" t="inlineStr">
        <is>
          <t xml:space="preserve">동</t>
        </is>
      </c>
      <c r="J54" s="171">
        <v>8</v>
      </c>
      <c r="K54" s="98" t="inlineStr">
        <is>
          <t xml:space="preserve">매월</t>
        </is>
      </c>
      <c r="L54" s="171">
        <v>48</v>
      </c>
      <c r="M54" s="171">
        <v>27.6</v>
      </c>
      <c r="N54" s="171">
        <v>331.2</v>
      </c>
      <c r="O54" s="174">
        <v>0.0157</v>
      </c>
      <c r="P54" s="99">
        <v>32485</v>
      </c>
      <c r="Q54" s="99">
        <v>722148</v>
      </c>
      <c r="R54" s="99">
        <v>88733</v>
      </c>
      <c r="S54" s="99">
        <v>27217</v>
      </c>
      <c r="T54" s="99">
        <v>41906</v>
      </c>
      <c r="U54" s="99">
        <v>16582</v>
      </c>
      <c r="V54" s="99">
        <f>SUM(Q54:U54)</f>
        <v>896586</v>
      </c>
      <c r="W54" s="99">
        <f>V54*12</f>
        <v>10759032</v>
      </c>
      <c r="X54" s="99">
        <v>18678.875</v>
      </c>
      <c r="Z54">
        <v>1</v>
      </c>
    </row>
    <row r="55">
      <c r="A55" s="98" t="inlineStr">
        <is>
          <t xml:space="preserve">B2-3</t>
        </is>
      </c>
      <c r="B55" s="98" t="inlineStr">
        <is>
          <t xml:space="preserve">순찰</t>
        </is>
      </c>
      <c r="C55" s="98" t="inlineStr">
        <is>
          <t xml:space="preserve">특별순찰</t>
        </is>
      </c>
      <c r="D55" s="98" t="inlineStr">
        <is>
          <t xml:space="preserve">기상특보(태풍·폭우·폭설) 비상 순찰</t>
        </is>
      </c>
      <c r="E55" s="98" t="inlineStr">
        <is>
          <t xml:space="preserve">작업</t>
        </is>
      </c>
      <c r="F55" s="98" t="inlineStr">
        <is>
          <t xml:space="preserve">공통</t>
        </is>
      </c>
      <c r="G55" s="171">
        <v>60</v>
      </c>
      <c r="H55" s="99">
        <v>6</v>
      </c>
      <c r="I55" s="98" t="inlineStr">
        <is>
          <t xml:space="preserve">동</t>
        </is>
      </c>
      <c r="J55" s="171">
        <v>4</v>
      </c>
      <c r="K55" s="98" t="inlineStr">
        <is>
          <t xml:space="preserve">매년</t>
        </is>
      </c>
      <c r="L55" s="171">
        <v>2</v>
      </c>
      <c r="M55" s="171">
        <v>2.3</v>
      </c>
      <c r="N55" s="171">
        <v>27.6</v>
      </c>
      <c r="O55" s="174">
        <v>0.0013</v>
      </c>
      <c r="P55" s="99">
        <v>32484.7826</v>
      </c>
      <c r="Q55" s="99">
        <v>60179</v>
      </c>
      <c r="R55" s="99">
        <v>7394</v>
      </c>
      <c r="S55" s="99">
        <v>2268</v>
      </c>
      <c r="T55" s="99">
        <v>3492</v>
      </c>
      <c r="U55" s="99">
        <v>1382</v>
      </c>
      <c r="V55" s="99">
        <f>SUM(Q55:U55)</f>
        <v>74715</v>
      </c>
      <c r="W55" s="99">
        <f>V55*12</f>
        <v>896580</v>
      </c>
      <c r="X55" s="99">
        <v>37357.5</v>
      </c>
      <c r="Z55">
        <v>1</v>
      </c>
    </row>
    <row r="56">
      <c r="A56" s="105" t="inlineStr">
        <is>
          <t xml:space="preserve">C</t>
        </is>
      </c>
      <c r="B56" s="105" t="inlineStr">
        <is>
          <t xml:space="preserve">상황대처</t>
        </is>
      </c>
      <c r="C56" s="105" t="inlineStr">
        <is>
          <t xml:space="preserve"/>
        </is>
      </c>
      <c r="D56" s="105" t="inlineStr">
        <is>
          <t xml:space="preserve"/>
        </is>
      </c>
      <c r="E56" s="105" t="inlineStr">
        <is>
          <t xml:space="preserve">23개 업무</t>
        </is>
      </c>
      <c r="F56" s="105" t="inlineStr">
        <is>
          <t xml:space="preserve"/>
        </is>
      </c>
      <c r="G56" s="105"/>
      <c r="H56" s="105"/>
      <c r="I56" s="105"/>
      <c r="J56" s="105"/>
      <c r="K56" s="105"/>
      <c r="L56" s="105"/>
      <c r="M56" s="172">
        <v>52.3378</v>
      </c>
      <c r="N56" s="172">
        <v>628.0533</v>
      </c>
      <c r="O56" s="175">
        <v>0.0299</v>
      </c>
      <c r="P56" s="106">
        <v>32485.0819</v>
      </c>
      <c r="Q56" s="106">
        <v>1369406</v>
      </c>
      <c r="R56" s="106">
        <v>168266</v>
      </c>
      <c r="S56" s="106">
        <v>51611</v>
      </c>
      <c r="T56" s="106">
        <v>79467</v>
      </c>
      <c r="U56" s="106">
        <v>31447</v>
      </c>
      <c r="V56" s="106">
        <f>SUM(Q56:U56)</f>
        <v>1700197</v>
      </c>
      <c r="W56" s="106">
        <f>V56*12</f>
        <v>20402364</v>
      </c>
      <c r="X56" s="105"/>
      <c r="Z56">
        <v>0</v>
      </c>
    </row>
    <row r="57">
      <c r="A57" s="105" t="inlineStr">
        <is>
          <t xml:space="preserve">C1</t>
        </is>
      </c>
      <c r="B57" s="105" t="inlineStr">
        <is>
          <t xml:space="preserve">상황대처</t>
        </is>
      </c>
      <c r="C57" s="105" t="inlineStr">
        <is>
          <t xml:space="preserve">화재·소방</t>
        </is>
      </c>
      <c r="D57" s="105" t="inlineStr">
        <is>
          <t xml:space="preserve"/>
        </is>
      </c>
      <c r="E57" s="105" t="inlineStr">
        <is>
          <t xml:space="preserve">4개 업무</t>
        </is>
      </c>
      <c r="F57" s="105" t="inlineStr">
        <is>
          <t xml:space="preserve"/>
        </is>
      </c>
      <c r="G57" s="105"/>
      <c r="H57" s="105"/>
      <c r="I57" s="105"/>
      <c r="J57" s="105"/>
      <c r="K57" s="105"/>
      <c r="L57" s="105"/>
      <c r="M57" s="172">
        <v>2.7153</v>
      </c>
      <c r="N57" s="172">
        <v>32.5833</v>
      </c>
      <c r="O57" s="175">
        <v>0.0015</v>
      </c>
      <c r="P57" s="106">
        <v>32485.4425</v>
      </c>
      <c r="Q57" s="106">
        <v>71044</v>
      </c>
      <c r="R57" s="106">
        <v>8730</v>
      </c>
      <c r="S57" s="106">
        <v>2678</v>
      </c>
      <c r="T57" s="106">
        <v>4123</v>
      </c>
      <c r="U57" s="106">
        <v>1632</v>
      </c>
      <c r="V57" s="106">
        <f>SUM(Q57:U57)</f>
        <v>88207</v>
      </c>
      <c r="W57" s="106">
        <f>V57*12</f>
        <v>1058484</v>
      </c>
      <c r="X57" s="105"/>
      <c r="Z57">
        <v>0</v>
      </c>
    </row>
    <row r="58">
      <c r="A58" s="98" t="inlineStr">
        <is>
          <t xml:space="preserve">C1-1</t>
        </is>
      </c>
      <c r="B58" s="98" t="inlineStr">
        <is>
          <t xml:space="preserve">상황대처</t>
        </is>
      </c>
      <c r="C58" s="98" t="inlineStr">
        <is>
          <t xml:space="preserve">화재·소방</t>
        </is>
      </c>
      <c r="D58" s="98" t="inlineStr">
        <is>
          <t xml:space="preserve">화재경보 발생 시 현장 출동·확인</t>
        </is>
      </c>
      <c r="E58" s="98" t="inlineStr">
        <is>
          <t xml:space="preserve">작업</t>
        </is>
      </c>
      <c r="F58" s="98" t="inlineStr">
        <is>
          <t xml:space="preserve">공통</t>
        </is>
      </c>
      <c r="G58" s="171">
        <v>15</v>
      </c>
      <c r="H58" s="99">
        <v>1</v>
      </c>
      <c r="I58" s="98" t="inlineStr">
        <is>
          <t xml:space="preserve">건</t>
        </is>
      </c>
      <c r="J58" s="171">
        <v>6</v>
      </c>
      <c r="K58" s="98" t="inlineStr">
        <is>
          <t xml:space="preserve">매월</t>
        </is>
      </c>
      <c r="L58" s="171">
        <v>6</v>
      </c>
      <c r="M58" s="171">
        <v>1.725</v>
      </c>
      <c r="N58" s="171">
        <v>20.7</v>
      </c>
      <c r="O58" s="174">
        <v>0.001</v>
      </c>
      <c r="P58" s="99">
        <v>32484.6377</v>
      </c>
      <c r="Q58" s="99">
        <v>45134</v>
      </c>
      <c r="R58" s="99">
        <v>5546</v>
      </c>
      <c r="S58" s="99">
        <v>1701</v>
      </c>
      <c r="T58" s="99">
        <v>2619</v>
      </c>
      <c r="U58" s="99">
        <v>1036</v>
      </c>
      <c r="V58" s="99">
        <f>SUM(Q58:U58)</f>
        <v>56036</v>
      </c>
      <c r="W58" s="99">
        <f>V58*12</f>
        <v>672432</v>
      </c>
      <c r="X58" s="99">
        <v>9339.3333</v>
      </c>
      <c r="Z58">
        <v>1</v>
      </c>
    </row>
    <row r="59">
      <c r="A59" s="98" t="inlineStr">
        <is>
          <t xml:space="preserve">C1-2</t>
        </is>
      </c>
      <c r="B59" s="98" t="inlineStr">
        <is>
          <t xml:space="preserve">상황대처</t>
        </is>
      </c>
      <c r="C59" s="98" t="inlineStr">
        <is>
          <t xml:space="preserve">화재·소방</t>
        </is>
      </c>
      <c r="D59" s="98" t="inlineStr">
        <is>
          <t xml:space="preserve">비화재보 복구·수신기 리셋</t>
        </is>
      </c>
      <c r="E59" s="98" t="inlineStr">
        <is>
          <t xml:space="preserve">작업</t>
        </is>
      </c>
      <c r="F59" s="98" t="inlineStr">
        <is>
          <t xml:space="preserve">공통</t>
        </is>
      </c>
      <c r="G59" s="171">
        <v>10</v>
      </c>
      <c r="H59" s="99">
        <v>1</v>
      </c>
      <c r="I59" s="98" t="inlineStr">
        <is>
          <t xml:space="preserve">건</t>
        </is>
      </c>
      <c r="J59" s="171">
        <v>4</v>
      </c>
      <c r="K59" s="98" t="inlineStr">
        <is>
          <t xml:space="preserve">매월</t>
        </is>
      </c>
      <c r="L59" s="171">
        <v>4</v>
      </c>
      <c r="M59" s="171">
        <v>0.7667</v>
      </c>
      <c r="N59" s="171">
        <v>9.2</v>
      </c>
      <c r="O59" s="174">
        <v>0.0004</v>
      </c>
      <c r="P59" s="99">
        <v>32486.087</v>
      </c>
      <c r="Q59" s="99">
        <v>20060</v>
      </c>
      <c r="R59" s="99">
        <v>2465</v>
      </c>
      <c r="S59" s="99">
        <v>756</v>
      </c>
      <c r="T59" s="99">
        <v>1164</v>
      </c>
      <c r="U59" s="99">
        <v>461</v>
      </c>
      <c r="V59" s="99">
        <f>SUM(Q59:U59)</f>
        <v>24906</v>
      </c>
      <c r="W59" s="99">
        <f>V59*12</f>
        <v>298872</v>
      </c>
      <c r="X59" s="99">
        <v>6226.5</v>
      </c>
      <c r="Z59">
        <v>1</v>
      </c>
    </row>
    <row r="60">
      <c r="A60" s="98" t="inlineStr">
        <is>
          <t xml:space="preserve">C1-3</t>
        </is>
      </c>
      <c r="B60" s="98" t="inlineStr">
        <is>
          <t xml:space="preserve">상황대처</t>
        </is>
      </c>
      <c r="C60" s="98" t="inlineStr">
        <is>
          <t xml:space="preserve">화재·소방</t>
        </is>
      </c>
      <c r="D60" s="98" t="inlineStr">
        <is>
          <t xml:space="preserve">초기 소화·피난 유도</t>
        </is>
      </c>
      <c r="E60" s="98" t="inlineStr">
        <is>
          <t xml:space="preserve">작업</t>
        </is>
      </c>
      <c r="F60" s="98" t="inlineStr">
        <is>
          <t xml:space="preserve">공통</t>
        </is>
      </c>
      <c r="G60" s="171">
        <v>60</v>
      </c>
      <c r="H60" s="99">
        <v>1</v>
      </c>
      <c r="I60" s="98" t="inlineStr">
        <is>
          <t xml:space="preserve">건</t>
        </is>
      </c>
      <c r="J60" s="171">
        <v>1</v>
      </c>
      <c r="K60" s="98" t="inlineStr">
        <is>
          <t xml:space="preserve">매년</t>
        </is>
      </c>
      <c r="L60" s="171">
        <v>0.0833</v>
      </c>
      <c r="M60" s="171">
        <v>0.0958</v>
      </c>
      <c r="N60" s="171">
        <v>1.15</v>
      </c>
      <c r="O60" s="174">
        <v>0.0001</v>
      </c>
      <c r="P60" s="99">
        <v>32493.913</v>
      </c>
      <c r="Q60" s="99">
        <v>2507</v>
      </c>
      <c r="R60" s="99">
        <v>308</v>
      </c>
      <c r="S60" s="99">
        <v>95</v>
      </c>
      <c r="T60" s="99">
        <v>146</v>
      </c>
      <c r="U60" s="99">
        <v>58</v>
      </c>
      <c r="V60" s="99">
        <f>SUM(Q60:U60)</f>
        <v>3114</v>
      </c>
      <c r="W60" s="99">
        <f>V60*12</f>
        <v>37368</v>
      </c>
      <c r="X60" s="99">
        <v>37368</v>
      </c>
      <c r="Z60">
        <v>1</v>
      </c>
    </row>
    <row r="61">
      <c r="A61" s="98" t="inlineStr">
        <is>
          <t xml:space="preserve">C1-4</t>
        </is>
      </c>
      <c r="B61" s="98" t="inlineStr">
        <is>
          <t xml:space="preserve">상황대처</t>
        </is>
      </c>
      <c r="C61" s="98" t="inlineStr">
        <is>
          <t xml:space="preserve">화재·소방</t>
        </is>
      </c>
      <c r="D61" s="98" t="inlineStr">
        <is>
          <t xml:space="preserve">소방서 신고·소방차 진입 안내</t>
        </is>
      </c>
      <c r="E61" s="98" t="inlineStr">
        <is>
          <t xml:space="preserve">작업</t>
        </is>
      </c>
      <c r="F61" s="98" t="inlineStr">
        <is>
          <t xml:space="preserve">공통</t>
        </is>
      </c>
      <c r="G61" s="171">
        <v>20</v>
      </c>
      <c r="H61" s="99">
        <v>1</v>
      </c>
      <c r="I61" s="98" t="inlineStr">
        <is>
          <t xml:space="preserve">건</t>
        </is>
      </c>
      <c r="J61" s="171">
        <v>1</v>
      </c>
      <c r="K61" s="98" t="inlineStr">
        <is>
          <t xml:space="preserve">분기</t>
        </is>
      </c>
      <c r="L61" s="171">
        <v>0.3333</v>
      </c>
      <c r="M61" s="171">
        <v>0.1278</v>
      </c>
      <c r="N61" s="171">
        <v>1.5333</v>
      </c>
      <c r="O61" s="174">
        <v>0.0001</v>
      </c>
      <c r="P61" s="99">
        <v>32486.087</v>
      </c>
      <c r="Q61" s="99">
        <v>3343</v>
      </c>
      <c r="R61" s="99">
        <v>411</v>
      </c>
      <c r="S61" s="99">
        <v>126</v>
      </c>
      <c r="T61" s="99">
        <v>194</v>
      </c>
      <c r="U61" s="99">
        <v>77</v>
      </c>
      <c r="V61" s="99">
        <f>SUM(Q61:U61)</f>
        <v>4151</v>
      </c>
      <c r="W61" s="99">
        <f>V61*12</f>
        <v>49812</v>
      </c>
      <c r="X61" s="99">
        <v>12453</v>
      </c>
      <c r="Z61">
        <v>1</v>
      </c>
    </row>
    <row r="62">
      <c r="A62" s="105" t="inlineStr">
        <is>
          <t xml:space="preserve">C2</t>
        </is>
      </c>
      <c r="B62" s="105" t="inlineStr">
        <is>
          <t xml:space="preserve">상황대처</t>
        </is>
      </c>
      <c r="C62" s="105" t="inlineStr">
        <is>
          <t xml:space="preserve">응급·안전사고</t>
        </is>
      </c>
      <c r="D62" s="105" t="inlineStr">
        <is>
          <t xml:space="preserve"/>
        </is>
      </c>
      <c r="E62" s="105" t="inlineStr">
        <is>
          <t xml:space="preserve">5개 업무</t>
        </is>
      </c>
      <c r="F62" s="105" t="inlineStr">
        <is>
          <t xml:space="preserve"/>
        </is>
      </c>
      <c r="G62" s="105"/>
      <c r="H62" s="105"/>
      <c r="I62" s="105"/>
      <c r="J62" s="105"/>
      <c r="K62" s="105"/>
      <c r="L62" s="105"/>
      <c r="M62" s="172">
        <v>2.3</v>
      </c>
      <c r="N62" s="172">
        <v>27.6</v>
      </c>
      <c r="O62" s="175">
        <v>0.0013</v>
      </c>
      <c r="P62" s="106">
        <v>32486.087</v>
      </c>
      <c r="Q62" s="106">
        <v>60180</v>
      </c>
      <c r="R62" s="106">
        <v>7395</v>
      </c>
      <c r="S62" s="106">
        <v>2268</v>
      </c>
      <c r="T62" s="106">
        <v>3492</v>
      </c>
      <c r="U62" s="106">
        <v>1383</v>
      </c>
      <c r="V62" s="106">
        <f>SUM(Q62:U62)</f>
        <v>74718</v>
      </c>
      <c r="W62" s="106">
        <f>V62*12</f>
        <v>896616</v>
      </c>
      <c r="X62" s="105"/>
      <c r="Z62">
        <v>0</v>
      </c>
    </row>
    <row r="63">
      <c r="A63" s="98" t="inlineStr">
        <is>
          <t xml:space="preserve">C2-1</t>
        </is>
      </c>
      <c r="B63" s="98" t="inlineStr">
        <is>
          <t xml:space="preserve">상황대처</t>
        </is>
      </c>
      <c r="C63" s="98" t="inlineStr">
        <is>
          <t xml:space="preserve">응급·안전사고</t>
        </is>
      </c>
      <c r="D63" s="98" t="inlineStr">
        <is>
          <t xml:space="preserve">응급환자 응급조치·119 신고·인계</t>
        </is>
      </c>
      <c r="E63" s="98" t="inlineStr">
        <is>
          <t xml:space="preserve">작업</t>
        </is>
      </c>
      <c r="F63" s="98" t="inlineStr">
        <is>
          <t xml:space="preserve">공통</t>
        </is>
      </c>
      <c r="G63" s="171">
        <v>30</v>
      </c>
      <c r="H63" s="99">
        <v>1</v>
      </c>
      <c r="I63" s="98" t="inlineStr">
        <is>
          <t xml:space="preserve">건</t>
        </is>
      </c>
      <c r="J63" s="171">
        <v>1</v>
      </c>
      <c r="K63" s="98" t="inlineStr">
        <is>
          <t xml:space="preserve">매월</t>
        </is>
      </c>
      <c r="L63" s="171">
        <v>1</v>
      </c>
      <c r="M63" s="171">
        <v>0.575</v>
      </c>
      <c r="N63" s="171">
        <v>6.9</v>
      </c>
      <c r="O63" s="174">
        <v>0.0003</v>
      </c>
      <c r="P63" s="99">
        <v>32486.9565</v>
      </c>
      <c r="Q63" s="99">
        <v>15045</v>
      </c>
      <c r="R63" s="99">
        <v>1849</v>
      </c>
      <c r="S63" s="99">
        <v>567</v>
      </c>
      <c r="T63" s="99">
        <v>873</v>
      </c>
      <c r="U63" s="99">
        <v>346</v>
      </c>
      <c r="V63" s="99">
        <f>SUM(Q63:U63)</f>
        <v>18680</v>
      </c>
      <c r="W63" s="99">
        <f>V63*12</f>
        <v>224160</v>
      </c>
      <c r="X63" s="99">
        <v>18680</v>
      </c>
      <c r="Z63">
        <v>1</v>
      </c>
    </row>
    <row r="64">
      <c r="A64" s="98" t="inlineStr">
        <is>
          <t xml:space="preserve">C2-2</t>
        </is>
      </c>
      <c r="B64" s="98" t="inlineStr">
        <is>
          <t xml:space="preserve">상황대처</t>
        </is>
      </c>
      <c r="C64" s="98" t="inlineStr">
        <is>
          <t xml:space="preserve">응급·안전사고</t>
        </is>
      </c>
      <c r="D64" s="98" t="inlineStr">
        <is>
          <t xml:space="preserve">AED·구급함 점검</t>
        </is>
      </c>
      <c r="E64" s="98" t="inlineStr">
        <is>
          <t xml:space="preserve">작업</t>
        </is>
      </c>
      <c r="F64" s="98" t="inlineStr">
        <is>
          <t xml:space="preserve">공통</t>
        </is>
      </c>
      <c r="G64" s="171">
        <v>5</v>
      </c>
      <c r="H64" s="99">
        <v>6</v>
      </c>
      <c r="I64" s="98" t="inlineStr">
        <is>
          <t xml:space="preserve">개소</t>
        </is>
      </c>
      <c r="J64" s="171">
        <v>1</v>
      </c>
      <c r="K64" s="98" t="inlineStr">
        <is>
          <t xml:space="preserve">매월</t>
        </is>
      </c>
      <c r="L64" s="171">
        <v>6</v>
      </c>
      <c r="M64" s="171">
        <v>0.575</v>
      </c>
      <c r="N64" s="171">
        <v>6.9</v>
      </c>
      <c r="O64" s="174">
        <v>0.0003</v>
      </c>
      <c r="P64" s="99">
        <v>32486.9565</v>
      </c>
      <c r="Q64" s="99">
        <v>15045</v>
      </c>
      <c r="R64" s="99">
        <v>1849</v>
      </c>
      <c r="S64" s="99">
        <v>567</v>
      </c>
      <c r="T64" s="99">
        <v>873</v>
      </c>
      <c r="U64" s="99">
        <v>346</v>
      </c>
      <c r="V64" s="99">
        <f>SUM(Q64:U64)</f>
        <v>18680</v>
      </c>
      <c r="W64" s="99">
        <f>V64*12</f>
        <v>224160</v>
      </c>
      <c r="X64" s="99">
        <v>3113.3333</v>
      </c>
      <c r="Z64">
        <v>1</v>
      </c>
    </row>
    <row r="65">
      <c r="A65" s="98" t="inlineStr">
        <is>
          <t xml:space="preserve">C2-3</t>
        </is>
      </c>
      <c r="B65" s="98" t="inlineStr">
        <is>
          <t xml:space="preserve">상황대처</t>
        </is>
      </c>
      <c r="C65" s="98" t="inlineStr">
        <is>
          <t xml:space="preserve">응급·안전사고</t>
        </is>
      </c>
      <c r="D65" s="98" t="inlineStr">
        <is>
          <t xml:space="preserve">산업재해 발생 시 현장 통제·보고</t>
        </is>
      </c>
      <c r="E65" s="98" t="inlineStr">
        <is>
          <t xml:space="preserve">작업</t>
        </is>
      </c>
      <c r="F65" s="98" t="inlineStr">
        <is>
          <t xml:space="preserve">공통</t>
        </is>
      </c>
      <c r="G65" s="171">
        <v>60</v>
      </c>
      <c r="H65" s="99">
        <v>1</v>
      </c>
      <c r="I65" s="98" t="inlineStr">
        <is>
          <t xml:space="preserve">건</t>
        </is>
      </c>
      <c r="J65" s="171">
        <v>2</v>
      </c>
      <c r="K65" s="98" t="inlineStr">
        <is>
          <t xml:space="preserve">매년</t>
        </is>
      </c>
      <c r="L65" s="171">
        <v>0.1667</v>
      </c>
      <c r="M65" s="171">
        <v>0.1917</v>
      </c>
      <c r="N65" s="171">
        <v>2.3</v>
      </c>
      <c r="O65" s="174">
        <v>0.0001</v>
      </c>
      <c r="P65" s="99">
        <v>32483.4783</v>
      </c>
      <c r="Q65" s="99">
        <v>5015</v>
      </c>
      <c r="R65" s="99">
        <v>616</v>
      </c>
      <c r="S65" s="99">
        <v>189</v>
      </c>
      <c r="T65" s="99">
        <v>291</v>
      </c>
      <c r="U65" s="99">
        <v>115</v>
      </c>
      <c r="V65" s="99">
        <f>SUM(Q65:U65)</f>
        <v>6226</v>
      </c>
      <c r="W65" s="99">
        <f>V65*12</f>
        <v>74712</v>
      </c>
      <c r="X65" s="99">
        <v>37356</v>
      </c>
      <c r="Z65">
        <v>1</v>
      </c>
    </row>
    <row r="66">
      <c r="A66" s="98" t="inlineStr">
        <is>
          <t xml:space="preserve">C2-4</t>
        </is>
      </c>
      <c r="B66" s="98" t="inlineStr">
        <is>
          <t xml:space="preserve">상황대처</t>
        </is>
      </c>
      <c r="C66" s="98" t="inlineStr">
        <is>
          <t xml:space="preserve">응급·안전사고</t>
        </is>
      </c>
      <c r="D66" s="98" t="inlineStr">
        <is>
          <t xml:space="preserve">승강기 갇힘 사고 대응·구조 연계</t>
        </is>
      </c>
      <c r="E66" s="98" t="inlineStr">
        <is>
          <t xml:space="preserve">작업</t>
        </is>
      </c>
      <c r="F66" s="98" t="inlineStr">
        <is>
          <t xml:space="preserve">공통</t>
        </is>
      </c>
      <c r="G66" s="171">
        <v>30</v>
      </c>
      <c r="H66" s="99">
        <v>1</v>
      </c>
      <c r="I66" s="98" t="inlineStr">
        <is>
          <t xml:space="preserve">건</t>
        </is>
      </c>
      <c r="J66" s="171">
        <v>1</v>
      </c>
      <c r="K66" s="98" t="inlineStr">
        <is>
          <t xml:space="preserve">매월</t>
        </is>
      </c>
      <c r="L66" s="171">
        <v>1</v>
      </c>
      <c r="M66" s="171">
        <v>0.575</v>
      </c>
      <c r="N66" s="171">
        <v>6.9</v>
      </c>
      <c r="O66" s="174">
        <v>0.0003</v>
      </c>
      <c r="P66" s="99">
        <v>32486.9565</v>
      </c>
      <c r="Q66" s="99">
        <v>15045</v>
      </c>
      <c r="R66" s="99">
        <v>1849</v>
      </c>
      <c r="S66" s="99">
        <v>567</v>
      </c>
      <c r="T66" s="99">
        <v>873</v>
      </c>
      <c r="U66" s="99">
        <v>346</v>
      </c>
      <c r="V66" s="99">
        <f>SUM(Q66:U66)</f>
        <v>18680</v>
      </c>
      <c r="W66" s="99">
        <f>V66*12</f>
        <v>224160</v>
      </c>
      <c r="X66" s="99">
        <v>18680</v>
      </c>
      <c r="Z66">
        <v>1</v>
      </c>
    </row>
    <row r="67">
      <c r="A67" s="98" t="inlineStr">
        <is>
          <t xml:space="preserve">C2-5</t>
        </is>
      </c>
      <c r="B67" s="98" t="inlineStr">
        <is>
          <t xml:space="preserve">상황대처</t>
        </is>
      </c>
      <c r="C67" s="98" t="inlineStr">
        <is>
          <t xml:space="preserve">응급·안전사고</t>
        </is>
      </c>
      <c r="D67" s="98" t="inlineStr">
        <is>
          <t xml:space="preserve">넘어짐·추락 사고 현장 조치</t>
        </is>
      </c>
      <c r="E67" s="98" t="inlineStr">
        <is>
          <t xml:space="preserve">작업</t>
        </is>
      </c>
      <c r="F67" s="98" t="inlineStr">
        <is>
          <t xml:space="preserve">공통</t>
        </is>
      </c>
      <c r="G67" s="171">
        <v>20</v>
      </c>
      <c r="H67" s="99">
        <v>1</v>
      </c>
      <c r="I67" s="98" t="inlineStr">
        <is>
          <t xml:space="preserve">건</t>
        </is>
      </c>
      <c r="J67" s="171">
        <v>1</v>
      </c>
      <c r="K67" s="98" t="inlineStr">
        <is>
          <t xml:space="preserve">매월</t>
        </is>
      </c>
      <c r="L67" s="171">
        <v>1</v>
      </c>
      <c r="M67" s="171">
        <v>0.3833</v>
      </c>
      <c r="N67" s="171">
        <v>4.6</v>
      </c>
      <c r="O67" s="174">
        <v>0.0002</v>
      </c>
      <c r="P67" s="99">
        <v>32483.4783</v>
      </c>
      <c r="Q67" s="99">
        <v>10030</v>
      </c>
      <c r="R67" s="99">
        <v>1232</v>
      </c>
      <c r="S67" s="99">
        <v>378</v>
      </c>
      <c r="T67" s="99">
        <v>582</v>
      </c>
      <c r="U67" s="99">
        <v>230</v>
      </c>
      <c r="V67" s="99">
        <f>SUM(Q67:U67)</f>
        <v>12452</v>
      </c>
      <c r="W67" s="99">
        <f>V67*12</f>
        <v>149424</v>
      </c>
      <c r="X67" s="99">
        <v>12452</v>
      </c>
      <c r="Z67">
        <v>1</v>
      </c>
    </row>
    <row r="68">
      <c r="A68" s="105" t="inlineStr">
        <is>
          <t xml:space="preserve">C3</t>
        </is>
      </c>
      <c r="B68" s="105" t="inlineStr">
        <is>
          <t xml:space="preserve">상황대처</t>
        </is>
      </c>
      <c r="C68" s="105" t="inlineStr">
        <is>
          <t xml:space="preserve">침입·도난·범죄</t>
        </is>
      </c>
      <c r="D68" s="105" t="inlineStr">
        <is>
          <t xml:space="preserve"/>
        </is>
      </c>
      <c r="E68" s="105" t="inlineStr">
        <is>
          <t xml:space="preserve">4개 업무</t>
        </is>
      </c>
      <c r="F68" s="105" t="inlineStr">
        <is>
          <t xml:space="preserve"/>
        </is>
      </c>
      <c r="G68" s="105"/>
      <c r="H68" s="105"/>
      <c r="I68" s="105"/>
      <c r="J68" s="105"/>
      <c r="K68" s="105"/>
      <c r="L68" s="105"/>
      <c r="M68" s="172">
        <v>6.7083</v>
      </c>
      <c r="N68" s="172">
        <v>80.5</v>
      </c>
      <c r="O68" s="175">
        <v>0.0038</v>
      </c>
      <c r="P68" s="106">
        <v>32484.9689</v>
      </c>
      <c r="Q68" s="106">
        <v>175522</v>
      </c>
      <c r="R68" s="106">
        <v>21567</v>
      </c>
      <c r="S68" s="106">
        <v>6615</v>
      </c>
      <c r="T68" s="106">
        <v>10185</v>
      </c>
      <c r="U68" s="106">
        <v>4031</v>
      </c>
      <c r="V68" s="106">
        <f>SUM(Q68:U68)</f>
        <v>217920</v>
      </c>
      <c r="W68" s="106">
        <f>V68*12</f>
        <v>2615040</v>
      </c>
      <c r="X68" s="105"/>
      <c r="Z68">
        <v>0</v>
      </c>
    </row>
    <row r="69">
      <c r="A69" s="98" t="inlineStr">
        <is>
          <t xml:space="preserve">C3-1</t>
        </is>
      </c>
      <c r="B69" s="98" t="inlineStr">
        <is>
          <t xml:space="preserve">상황대처</t>
        </is>
      </c>
      <c r="C69" s="98" t="inlineStr">
        <is>
          <t xml:space="preserve">침입·도난·범죄</t>
        </is>
      </c>
      <c r="D69" s="98" t="inlineStr">
        <is>
          <t xml:space="preserve">무단침입 발생 시 대응·경찰 신고</t>
        </is>
      </c>
      <c r="E69" s="98" t="inlineStr">
        <is>
          <t xml:space="preserve">작업</t>
        </is>
      </c>
      <c r="F69" s="98" t="inlineStr">
        <is>
          <t xml:space="preserve">공통</t>
        </is>
      </c>
      <c r="G69" s="171">
        <v>40</v>
      </c>
      <c r="H69" s="99">
        <v>1</v>
      </c>
      <c r="I69" s="98" t="inlineStr">
        <is>
          <t xml:space="preserve">건</t>
        </is>
      </c>
      <c r="J69" s="171">
        <v>2</v>
      </c>
      <c r="K69" s="98" t="inlineStr">
        <is>
          <t xml:space="preserve">매월</t>
        </is>
      </c>
      <c r="L69" s="171">
        <v>2</v>
      </c>
      <c r="M69" s="171">
        <v>1.5333</v>
      </c>
      <c r="N69" s="171">
        <v>18.4</v>
      </c>
      <c r="O69" s="174">
        <v>0.0009</v>
      </c>
      <c r="P69" s="99">
        <v>32484.7826</v>
      </c>
      <c r="Q69" s="99">
        <v>40119</v>
      </c>
      <c r="R69" s="99">
        <v>4930</v>
      </c>
      <c r="S69" s="99">
        <v>1512</v>
      </c>
      <c r="T69" s="99">
        <v>2328</v>
      </c>
      <c r="U69" s="99">
        <v>921</v>
      </c>
      <c r="V69" s="99">
        <f>SUM(Q69:U69)</f>
        <v>49810</v>
      </c>
      <c r="W69" s="99">
        <f>V69*12</f>
        <v>597720</v>
      </c>
      <c r="X69" s="99">
        <v>24905</v>
      </c>
      <c r="Z69">
        <v>1</v>
      </c>
    </row>
    <row r="70">
      <c r="A70" s="98" t="inlineStr">
        <is>
          <t xml:space="preserve">C3-2</t>
        </is>
      </c>
      <c r="B70" s="98" t="inlineStr">
        <is>
          <t xml:space="preserve">상황대처</t>
        </is>
      </c>
      <c r="C70" s="98" t="inlineStr">
        <is>
          <t xml:space="preserve">침입·도난·범죄</t>
        </is>
      </c>
      <c r="D70" s="98" t="inlineStr">
        <is>
          <t xml:space="preserve">도난·분실 신고 접수·조사 협조</t>
        </is>
      </c>
      <c r="E70" s="98" t="inlineStr">
        <is>
          <t xml:space="preserve">작업</t>
        </is>
      </c>
      <c r="F70" s="98" t="inlineStr">
        <is>
          <t xml:space="preserve">공통</t>
        </is>
      </c>
      <c r="G70" s="171">
        <v>30</v>
      </c>
      <c r="H70" s="99">
        <v>1</v>
      </c>
      <c r="I70" s="98" t="inlineStr">
        <is>
          <t xml:space="preserve">건</t>
        </is>
      </c>
      <c r="J70" s="171">
        <v>1</v>
      </c>
      <c r="K70" s="98" t="inlineStr">
        <is>
          <t xml:space="preserve">매월</t>
        </is>
      </c>
      <c r="L70" s="171">
        <v>1</v>
      </c>
      <c r="M70" s="171">
        <v>0.575</v>
      </c>
      <c r="N70" s="171">
        <v>6.9</v>
      </c>
      <c r="O70" s="174">
        <v>0.0003</v>
      </c>
      <c r="P70" s="99">
        <v>32486.9565</v>
      </c>
      <c r="Q70" s="99">
        <v>15045</v>
      </c>
      <c r="R70" s="99">
        <v>1849</v>
      </c>
      <c r="S70" s="99">
        <v>567</v>
      </c>
      <c r="T70" s="99">
        <v>873</v>
      </c>
      <c r="U70" s="99">
        <v>346</v>
      </c>
      <c r="V70" s="99">
        <f>SUM(Q70:U70)</f>
        <v>18680</v>
      </c>
      <c r="W70" s="99">
        <f>V70*12</f>
        <v>224160</v>
      </c>
      <c r="X70" s="99">
        <v>18680</v>
      </c>
      <c r="Z70">
        <v>1</v>
      </c>
    </row>
    <row r="71">
      <c r="A71" s="98" t="inlineStr">
        <is>
          <t xml:space="preserve">C3-3</t>
        </is>
      </c>
      <c r="B71" s="98" t="inlineStr">
        <is>
          <t xml:space="preserve">상황대처</t>
        </is>
      </c>
      <c r="C71" s="98" t="inlineStr">
        <is>
          <t xml:space="preserve">침입·도난·범죄</t>
        </is>
      </c>
      <c r="D71" s="98" t="inlineStr">
        <is>
          <t xml:space="preserve">CCTV 영상 확인·증거 보존 지원</t>
        </is>
      </c>
      <c r="E71" s="98" t="inlineStr">
        <is>
          <t xml:space="preserve">작업</t>
        </is>
      </c>
      <c r="F71" s="98" t="inlineStr">
        <is>
          <t xml:space="preserve">공통</t>
        </is>
      </c>
      <c r="G71" s="171">
        <v>30</v>
      </c>
      <c r="H71" s="99">
        <v>1</v>
      </c>
      <c r="I71" s="98" t="inlineStr">
        <is>
          <t xml:space="preserve">건</t>
        </is>
      </c>
      <c r="J71" s="171">
        <v>4</v>
      </c>
      <c r="K71" s="98" t="inlineStr">
        <is>
          <t xml:space="preserve">매월</t>
        </is>
      </c>
      <c r="L71" s="171">
        <v>4</v>
      </c>
      <c r="M71" s="171">
        <v>2.3</v>
      </c>
      <c r="N71" s="171">
        <v>27.6</v>
      </c>
      <c r="O71" s="174">
        <v>0.0013</v>
      </c>
      <c r="P71" s="99">
        <v>32484.7826</v>
      </c>
      <c r="Q71" s="99">
        <v>60179</v>
      </c>
      <c r="R71" s="99">
        <v>7394</v>
      </c>
      <c r="S71" s="99">
        <v>2268</v>
      </c>
      <c r="T71" s="99">
        <v>3492</v>
      </c>
      <c r="U71" s="99">
        <v>1382</v>
      </c>
      <c r="V71" s="99">
        <f>SUM(Q71:U71)</f>
        <v>74715</v>
      </c>
      <c r="W71" s="99">
        <f>V71*12</f>
        <v>896580</v>
      </c>
      <c r="X71" s="99">
        <v>18678.75</v>
      </c>
      <c r="Z71">
        <v>1</v>
      </c>
    </row>
    <row r="72">
      <c r="A72" s="98" t="inlineStr">
        <is>
          <t xml:space="preserve">C3-4</t>
        </is>
      </c>
      <c r="B72" s="98" t="inlineStr">
        <is>
          <t xml:space="preserve">상황대처</t>
        </is>
      </c>
      <c r="C72" s="98" t="inlineStr">
        <is>
          <t xml:space="preserve">침입·도난·범죄</t>
        </is>
      </c>
      <c r="D72" s="98" t="inlineStr">
        <is>
          <t xml:space="preserve">수상한 물건·거동 수상자 확인</t>
        </is>
      </c>
      <c r="E72" s="98" t="inlineStr">
        <is>
          <t xml:space="preserve">작업</t>
        </is>
      </c>
      <c r="F72" s="98" t="inlineStr">
        <is>
          <t xml:space="preserve">공통</t>
        </is>
      </c>
      <c r="G72" s="171">
        <v>15</v>
      </c>
      <c r="H72" s="99">
        <v>1</v>
      </c>
      <c r="I72" s="98" t="inlineStr">
        <is>
          <t xml:space="preserve">건</t>
        </is>
      </c>
      <c r="J72" s="171">
        <v>8</v>
      </c>
      <c r="K72" s="98" t="inlineStr">
        <is>
          <t xml:space="preserve">매월</t>
        </is>
      </c>
      <c r="L72" s="171">
        <v>8</v>
      </c>
      <c r="M72" s="171">
        <v>2.3</v>
      </c>
      <c r="N72" s="171">
        <v>27.6</v>
      </c>
      <c r="O72" s="174">
        <v>0.0013</v>
      </c>
      <c r="P72" s="99">
        <v>32484.7826</v>
      </c>
      <c r="Q72" s="99">
        <v>60179</v>
      </c>
      <c r="R72" s="99">
        <v>7394</v>
      </c>
      <c r="S72" s="99">
        <v>2268</v>
      </c>
      <c r="T72" s="99">
        <v>3492</v>
      </c>
      <c r="U72" s="99">
        <v>1382</v>
      </c>
      <c r="V72" s="99">
        <f>SUM(Q72:U72)</f>
        <v>74715</v>
      </c>
      <c r="W72" s="99">
        <f>V72*12</f>
        <v>896580</v>
      </c>
      <c r="X72" s="99">
        <v>9339.375</v>
      </c>
      <c r="Z72">
        <v>1</v>
      </c>
    </row>
    <row r="73">
      <c r="A73" s="105" t="inlineStr">
        <is>
          <t xml:space="preserve">C4</t>
        </is>
      </c>
      <c r="B73" s="105" t="inlineStr">
        <is>
          <t xml:space="preserve">상황대처</t>
        </is>
      </c>
      <c r="C73" s="105" t="inlineStr">
        <is>
          <t xml:space="preserve">소란·민원·폭력</t>
        </is>
      </c>
      <c r="D73" s="105" t="inlineStr">
        <is>
          <t xml:space="preserve"/>
        </is>
      </c>
      <c r="E73" s="105" t="inlineStr">
        <is>
          <t xml:space="preserve">4개 업무</t>
        </is>
      </c>
      <c r="F73" s="105" t="inlineStr">
        <is>
          <t xml:space="preserve"/>
        </is>
      </c>
      <c r="G73" s="105"/>
      <c r="H73" s="105"/>
      <c r="I73" s="105"/>
      <c r="J73" s="105"/>
      <c r="K73" s="105"/>
      <c r="L73" s="105"/>
      <c r="M73" s="172">
        <v>18.63</v>
      </c>
      <c r="N73" s="172">
        <v>223.56</v>
      </c>
      <c r="O73" s="175">
        <v>0.0106</v>
      </c>
      <c r="P73" s="106">
        <v>32485.0242</v>
      </c>
      <c r="Q73" s="106">
        <v>487450</v>
      </c>
      <c r="R73" s="106">
        <v>59895</v>
      </c>
      <c r="S73" s="106">
        <v>18371</v>
      </c>
      <c r="T73" s="106">
        <v>28287</v>
      </c>
      <c r="U73" s="106">
        <v>11193</v>
      </c>
      <c r="V73" s="106">
        <f>SUM(Q73:U73)</f>
        <v>605196</v>
      </c>
      <c r="W73" s="106">
        <f>V73*12</f>
        <v>7262352</v>
      </c>
      <c r="X73" s="105"/>
      <c r="Z73">
        <v>0</v>
      </c>
    </row>
    <row r="74">
      <c r="A74" s="98" t="inlineStr">
        <is>
          <t xml:space="preserve">C4-1</t>
        </is>
      </c>
      <c r="B74" s="98" t="inlineStr">
        <is>
          <t xml:space="preserve">상황대처</t>
        </is>
      </c>
      <c r="C74" s="98" t="inlineStr">
        <is>
          <t xml:space="preserve">소란·민원·폭력</t>
        </is>
      </c>
      <c r="D74" s="98" t="inlineStr">
        <is>
          <t xml:space="preserve">소란·난동 발생 시 제지·분리</t>
        </is>
      </c>
      <c r="E74" s="98" t="inlineStr">
        <is>
          <t xml:space="preserve">작업</t>
        </is>
      </c>
      <c r="F74" s="98" t="inlineStr">
        <is>
          <t xml:space="preserve">공통</t>
        </is>
      </c>
      <c r="G74" s="171">
        <v>30</v>
      </c>
      <c r="H74" s="99">
        <v>1</v>
      </c>
      <c r="I74" s="98" t="inlineStr">
        <is>
          <t xml:space="preserve">건</t>
        </is>
      </c>
      <c r="J74" s="171">
        <v>1</v>
      </c>
      <c r="K74" s="98" t="inlineStr">
        <is>
          <t xml:space="preserve">매월</t>
        </is>
      </c>
      <c r="L74" s="171">
        <v>1</v>
      </c>
      <c r="M74" s="171">
        <v>0.575</v>
      </c>
      <c r="N74" s="171">
        <v>6.9</v>
      </c>
      <c r="O74" s="174">
        <v>0.0003</v>
      </c>
      <c r="P74" s="99">
        <v>32486.9565</v>
      </c>
      <c r="Q74" s="99">
        <v>15045</v>
      </c>
      <c r="R74" s="99">
        <v>1849</v>
      </c>
      <c r="S74" s="99">
        <v>567</v>
      </c>
      <c r="T74" s="99">
        <v>873</v>
      </c>
      <c r="U74" s="99">
        <v>346</v>
      </c>
      <c r="V74" s="99">
        <f>SUM(Q74:U74)</f>
        <v>18680</v>
      </c>
      <c r="W74" s="99">
        <f>V74*12</f>
        <v>224160</v>
      </c>
      <c r="X74" s="99">
        <v>18680</v>
      </c>
      <c r="Z74">
        <v>1</v>
      </c>
    </row>
    <row r="75">
      <c r="A75" s="98" t="inlineStr">
        <is>
          <t xml:space="preserve">C4-2</t>
        </is>
      </c>
      <c r="B75" s="98" t="inlineStr">
        <is>
          <t xml:space="preserve">상황대처</t>
        </is>
      </c>
      <c r="C75" s="98" t="inlineStr">
        <is>
          <t xml:space="preserve">소란·민원·폭력</t>
        </is>
      </c>
      <c r="D75" s="98" t="inlineStr">
        <is>
          <t xml:space="preserve">주취자·노숙인 대응</t>
        </is>
      </c>
      <c r="E75" s="98" t="inlineStr">
        <is>
          <t xml:space="preserve">작업</t>
        </is>
      </c>
      <c r="F75" s="98" t="inlineStr">
        <is>
          <t xml:space="preserve">공통</t>
        </is>
      </c>
      <c r="G75" s="171">
        <v>20</v>
      </c>
      <c r="H75" s="99">
        <v>1</v>
      </c>
      <c r="I75" s="98" t="inlineStr">
        <is>
          <t xml:space="preserve">건</t>
        </is>
      </c>
      <c r="J75" s="171">
        <v>1</v>
      </c>
      <c r="K75" s="98" t="inlineStr">
        <is>
          <t xml:space="preserve">매월</t>
        </is>
      </c>
      <c r="L75" s="171">
        <v>1</v>
      </c>
      <c r="M75" s="171">
        <v>0.3833</v>
      </c>
      <c r="N75" s="171">
        <v>4.6</v>
      </c>
      <c r="O75" s="174">
        <v>0.0002</v>
      </c>
      <c r="P75" s="99">
        <v>32483.4783</v>
      </c>
      <c r="Q75" s="99">
        <v>10030</v>
      </c>
      <c r="R75" s="99">
        <v>1232</v>
      </c>
      <c r="S75" s="99">
        <v>378</v>
      </c>
      <c r="T75" s="99">
        <v>582</v>
      </c>
      <c r="U75" s="99">
        <v>230</v>
      </c>
      <c r="V75" s="99">
        <f>SUM(Q75:U75)</f>
        <v>12452</v>
      </c>
      <c r="W75" s="99">
        <f>V75*12</f>
        <v>149424</v>
      </c>
      <c r="X75" s="99">
        <v>12452</v>
      </c>
      <c r="Z75">
        <v>1</v>
      </c>
    </row>
    <row r="76">
      <c r="A76" s="98" t="inlineStr">
        <is>
          <t xml:space="preserve">C4-3</t>
        </is>
      </c>
      <c r="B76" s="98" t="inlineStr">
        <is>
          <t xml:space="preserve">상황대처</t>
        </is>
      </c>
      <c r="C76" s="98" t="inlineStr">
        <is>
          <t xml:space="preserve">소란·민원·폭력</t>
        </is>
      </c>
      <c r="D76" s="98" t="inlineStr">
        <is>
          <t xml:space="preserve">현장 민원 접수·응대</t>
        </is>
      </c>
      <c r="E76" s="98" t="inlineStr">
        <is>
          <t xml:space="preserve">작업</t>
        </is>
      </c>
      <c r="F76" s="98" t="inlineStr">
        <is>
          <t xml:space="preserve">공통</t>
        </is>
      </c>
      <c r="G76" s="171">
        <v>10</v>
      </c>
      <c r="H76" s="99">
        <v>3</v>
      </c>
      <c r="I76" s="98" t="inlineStr">
        <is>
          <t xml:space="preserve">건</t>
        </is>
      </c>
      <c r="J76" s="171">
        <v>1</v>
      </c>
      <c r="K76" s="98" t="inlineStr">
        <is>
          <t xml:space="preserve">매일</t>
        </is>
      </c>
      <c r="L76" s="171">
        <v>91.2</v>
      </c>
      <c r="M76" s="171">
        <v>17.48</v>
      </c>
      <c r="N76" s="171">
        <v>209.76</v>
      </c>
      <c r="O76" s="174">
        <v>0.01</v>
      </c>
      <c r="P76" s="99">
        <v>32485.0114</v>
      </c>
      <c r="Q76" s="99">
        <v>457360</v>
      </c>
      <c r="R76" s="99">
        <v>56198</v>
      </c>
      <c r="S76" s="99">
        <v>17237</v>
      </c>
      <c r="T76" s="99">
        <v>26541</v>
      </c>
      <c r="U76" s="99">
        <v>10502</v>
      </c>
      <c r="V76" s="99">
        <f>SUM(Q76:U76)</f>
        <v>567838</v>
      </c>
      <c r="W76" s="99">
        <f>V76*12</f>
        <v>6814056</v>
      </c>
      <c r="X76" s="99">
        <v>6226.2939</v>
      </c>
      <c r="Z76">
        <v>1</v>
      </c>
    </row>
    <row r="77">
      <c r="A77" s="98" t="inlineStr">
        <is>
          <t xml:space="preserve">C4-4</t>
        </is>
      </c>
      <c r="B77" s="98" t="inlineStr">
        <is>
          <t xml:space="preserve">상황대처</t>
        </is>
      </c>
      <c r="C77" s="98" t="inlineStr">
        <is>
          <t xml:space="preserve">소란·민원·폭력</t>
        </is>
      </c>
      <c r="D77" s="98" t="inlineStr">
        <is>
          <t xml:space="preserve">집회·시위 발생 시 출입 통제</t>
        </is>
      </c>
      <c r="E77" s="98" t="inlineStr">
        <is>
          <t xml:space="preserve">작업</t>
        </is>
      </c>
      <c r="F77" s="98" t="inlineStr">
        <is>
          <t xml:space="preserve">공통</t>
        </is>
      </c>
      <c r="G77" s="171">
        <v>120</v>
      </c>
      <c r="H77" s="99">
        <v>1</v>
      </c>
      <c r="I77" s="98" t="inlineStr">
        <is>
          <t xml:space="preserve">건</t>
        </is>
      </c>
      <c r="J77" s="171">
        <v>1</v>
      </c>
      <c r="K77" s="98" t="inlineStr">
        <is>
          <t xml:space="preserve">매년</t>
        </is>
      </c>
      <c r="L77" s="171">
        <v>0.0833</v>
      </c>
      <c r="M77" s="171">
        <v>0.1917</v>
      </c>
      <c r="N77" s="171">
        <v>2.3</v>
      </c>
      <c r="O77" s="174">
        <v>0.0001</v>
      </c>
      <c r="P77" s="99">
        <v>32483.4783</v>
      </c>
      <c r="Q77" s="99">
        <v>5015</v>
      </c>
      <c r="R77" s="99">
        <v>616</v>
      </c>
      <c r="S77" s="99">
        <v>189</v>
      </c>
      <c r="T77" s="99">
        <v>291</v>
      </c>
      <c r="U77" s="99">
        <v>115</v>
      </c>
      <c r="V77" s="99">
        <f>SUM(Q77:U77)</f>
        <v>6226</v>
      </c>
      <c r="W77" s="99">
        <f>V77*12</f>
        <v>74712</v>
      </c>
      <c r="X77" s="99">
        <v>74712</v>
      </c>
      <c r="Z77">
        <v>1</v>
      </c>
    </row>
    <row r="78">
      <c r="A78" s="105" t="inlineStr">
        <is>
          <t xml:space="preserve">C5</t>
        </is>
      </c>
      <c r="B78" s="105" t="inlineStr">
        <is>
          <t xml:space="preserve">상황대처</t>
        </is>
      </c>
      <c r="C78" s="105" t="inlineStr">
        <is>
          <t xml:space="preserve">설비 이상·재난</t>
        </is>
      </c>
      <c r="D78" s="105" t="inlineStr">
        <is>
          <t xml:space="preserve"/>
        </is>
      </c>
      <c r="E78" s="105" t="inlineStr">
        <is>
          <t xml:space="preserve">4개 업무</t>
        </is>
      </c>
      <c r="F78" s="105" t="inlineStr">
        <is>
          <t xml:space="preserve"/>
        </is>
      </c>
      <c r="G78" s="105"/>
      <c r="H78" s="105"/>
      <c r="I78" s="105"/>
      <c r="J78" s="105"/>
      <c r="K78" s="105"/>
      <c r="L78" s="105"/>
      <c r="M78" s="172">
        <v>3.7375</v>
      </c>
      <c r="N78" s="172">
        <v>44.85</v>
      </c>
      <c r="O78" s="175">
        <v>0.0021</v>
      </c>
      <c r="P78" s="106">
        <v>32484.8161</v>
      </c>
      <c r="Q78" s="106">
        <v>97790</v>
      </c>
      <c r="R78" s="106">
        <v>12016</v>
      </c>
      <c r="S78" s="106">
        <v>3686</v>
      </c>
      <c r="T78" s="106">
        <v>5675</v>
      </c>
      <c r="U78" s="106">
        <v>2245</v>
      </c>
      <c r="V78" s="106">
        <f>SUM(Q78:U78)</f>
        <v>121412</v>
      </c>
      <c r="W78" s="106">
        <f>V78*12</f>
        <v>1456944</v>
      </c>
      <c r="X78" s="105"/>
      <c r="Z78">
        <v>0</v>
      </c>
    </row>
    <row r="79">
      <c r="A79" s="98" t="inlineStr">
        <is>
          <t xml:space="preserve">C5-1</t>
        </is>
      </c>
      <c r="B79" s="98" t="inlineStr">
        <is>
          <t xml:space="preserve">상황대처</t>
        </is>
      </c>
      <c r="C79" s="98" t="inlineStr">
        <is>
          <t xml:space="preserve">설비 이상·재난</t>
        </is>
      </c>
      <c r="D79" s="98" t="inlineStr">
        <is>
          <t xml:space="preserve">정전 시 비상조명 확인·설비팀 연락</t>
        </is>
      </c>
      <c r="E79" s="98" t="inlineStr">
        <is>
          <t xml:space="preserve">작업</t>
        </is>
      </c>
      <c r="F79" s="98" t="inlineStr">
        <is>
          <t xml:space="preserve">공통</t>
        </is>
      </c>
      <c r="G79" s="171">
        <v>30</v>
      </c>
      <c r="H79" s="99">
        <v>1</v>
      </c>
      <c r="I79" s="98" t="inlineStr">
        <is>
          <t xml:space="preserve">건</t>
        </is>
      </c>
      <c r="J79" s="171">
        <v>2</v>
      </c>
      <c r="K79" s="98" t="inlineStr">
        <is>
          <t xml:space="preserve">매년</t>
        </is>
      </c>
      <c r="L79" s="171">
        <v>0.1667</v>
      </c>
      <c r="M79" s="171">
        <v>0.0958</v>
      </c>
      <c r="N79" s="171">
        <v>1.15</v>
      </c>
      <c r="O79" s="174">
        <v>0.0001</v>
      </c>
      <c r="P79" s="99">
        <v>32493.913</v>
      </c>
      <c r="Q79" s="99">
        <v>2507</v>
      </c>
      <c r="R79" s="99">
        <v>308</v>
      </c>
      <c r="S79" s="99">
        <v>95</v>
      </c>
      <c r="T79" s="99">
        <v>146</v>
      </c>
      <c r="U79" s="99">
        <v>58</v>
      </c>
      <c r="V79" s="99">
        <f>SUM(Q79:U79)</f>
        <v>3114</v>
      </c>
      <c r="W79" s="99">
        <f>V79*12</f>
        <v>37368</v>
      </c>
      <c r="X79" s="99">
        <v>18684</v>
      </c>
      <c r="Z79">
        <v>1</v>
      </c>
    </row>
    <row r="80">
      <c r="A80" s="98" t="inlineStr">
        <is>
          <t xml:space="preserve">C5-2</t>
        </is>
      </c>
      <c r="B80" s="98" t="inlineStr">
        <is>
          <t xml:space="preserve">상황대처</t>
        </is>
      </c>
      <c r="C80" s="98" t="inlineStr">
        <is>
          <t xml:space="preserve">설비 이상·재난</t>
        </is>
      </c>
      <c r="D80" s="98" t="inlineStr">
        <is>
          <t xml:space="preserve">누수·배관 파열 초동 조치</t>
        </is>
      </c>
      <c r="E80" s="98" t="inlineStr">
        <is>
          <t xml:space="preserve">작업</t>
        </is>
      </c>
      <c r="F80" s="98" t="inlineStr">
        <is>
          <t xml:space="preserve">공통</t>
        </is>
      </c>
      <c r="G80" s="171">
        <v>30</v>
      </c>
      <c r="H80" s="99">
        <v>1</v>
      </c>
      <c r="I80" s="98" t="inlineStr">
        <is>
          <t xml:space="preserve">건</t>
        </is>
      </c>
      <c r="J80" s="171">
        <v>3</v>
      </c>
      <c r="K80" s="98" t="inlineStr">
        <is>
          <t xml:space="preserve">매월</t>
        </is>
      </c>
      <c r="L80" s="171">
        <v>3</v>
      </c>
      <c r="M80" s="171">
        <v>1.725</v>
      </c>
      <c r="N80" s="171">
        <v>20.7</v>
      </c>
      <c r="O80" s="174">
        <v>0.001</v>
      </c>
      <c r="P80" s="99">
        <v>32484.6377</v>
      </c>
      <c r="Q80" s="99">
        <v>45134</v>
      </c>
      <c r="R80" s="99">
        <v>5546</v>
      </c>
      <c r="S80" s="99">
        <v>1701</v>
      </c>
      <c r="T80" s="99">
        <v>2619</v>
      </c>
      <c r="U80" s="99">
        <v>1036</v>
      </c>
      <c r="V80" s="99">
        <f>SUM(Q80:U80)</f>
        <v>56036</v>
      </c>
      <c r="W80" s="99">
        <f>V80*12</f>
        <v>672432</v>
      </c>
      <c r="X80" s="99">
        <v>18678.6667</v>
      </c>
      <c r="Z80">
        <v>1</v>
      </c>
    </row>
    <row r="81">
      <c r="A81" s="98" t="inlineStr">
        <is>
          <t xml:space="preserve">C5-3</t>
        </is>
      </c>
      <c r="B81" s="98" t="inlineStr">
        <is>
          <t xml:space="preserve">상황대처</t>
        </is>
      </c>
      <c r="C81" s="98" t="inlineStr">
        <is>
          <t xml:space="preserve">설비 이상·재난</t>
        </is>
      </c>
      <c r="D81" s="98" t="inlineStr">
        <is>
          <t xml:space="preserve">가스·화학물질 누출 초동 조치</t>
        </is>
      </c>
      <c r="E81" s="98" t="inlineStr">
        <is>
          <t xml:space="preserve">작업</t>
        </is>
      </c>
      <c r="F81" s="98" t="inlineStr">
        <is>
          <t xml:space="preserve">공통</t>
        </is>
      </c>
      <c r="G81" s="171">
        <v>60</v>
      </c>
      <c r="H81" s="99">
        <v>1</v>
      </c>
      <c r="I81" s="98" t="inlineStr">
        <is>
          <t xml:space="preserve">건</t>
        </is>
      </c>
      <c r="J81" s="171">
        <v>2</v>
      </c>
      <c r="K81" s="98" t="inlineStr">
        <is>
          <t xml:space="preserve">매년</t>
        </is>
      </c>
      <c r="L81" s="171">
        <v>0.1667</v>
      </c>
      <c r="M81" s="171">
        <v>0.1917</v>
      </c>
      <c r="N81" s="171">
        <v>2.3</v>
      </c>
      <c r="O81" s="174">
        <v>0.0001</v>
      </c>
      <c r="P81" s="99">
        <v>32483.4783</v>
      </c>
      <c r="Q81" s="99">
        <v>5015</v>
      </c>
      <c r="R81" s="99">
        <v>616</v>
      </c>
      <c r="S81" s="99">
        <v>189</v>
      </c>
      <c r="T81" s="99">
        <v>291</v>
      </c>
      <c r="U81" s="99">
        <v>115</v>
      </c>
      <c r="V81" s="99">
        <f>SUM(Q81:U81)</f>
        <v>6226</v>
      </c>
      <c r="W81" s="99">
        <f>V81*12</f>
        <v>74712</v>
      </c>
      <c r="X81" s="99">
        <v>37356</v>
      </c>
      <c r="Z81">
        <v>1</v>
      </c>
    </row>
    <row r="82">
      <c r="A82" s="98" t="inlineStr">
        <is>
          <t xml:space="preserve">C5-4</t>
        </is>
      </c>
      <c r="B82" s="98" t="inlineStr">
        <is>
          <t xml:space="preserve">상황대처</t>
        </is>
      </c>
      <c r="C82" s="98" t="inlineStr">
        <is>
          <t xml:space="preserve">설비 이상·재난</t>
        </is>
      </c>
      <c r="D82" s="98" t="inlineStr">
        <is>
          <t xml:space="preserve">태풍·폭우 대비 시설물 결박·배수구 점검</t>
        </is>
      </c>
      <c r="E82" s="98" t="inlineStr">
        <is>
          <t xml:space="preserve">작업</t>
        </is>
      </c>
      <c r="F82" s="98" t="inlineStr">
        <is>
          <t xml:space="preserve">공통</t>
        </is>
      </c>
      <c r="G82" s="171">
        <v>60</v>
      </c>
      <c r="H82" s="99">
        <v>6</v>
      </c>
      <c r="I82" s="98" t="inlineStr">
        <is>
          <t xml:space="preserve">동</t>
        </is>
      </c>
      <c r="J82" s="171">
        <v>3</v>
      </c>
      <c r="K82" s="98" t="inlineStr">
        <is>
          <t xml:space="preserve">매년</t>
        </is>
      </c>
      <c r="L82" s="171">
        <v>1.5</v>
      </c>
      <c r="M82" s="171">
        <v>1.725</v>
      </c>
      <c r="N82" s="171">
        <v>20.7</v>
      </c>
      <c r="O82" s="174">
        <v>0.001</v>
      </c>
      <c r="P82" s="99">
        <v>32484.6377</v>
      </c>
      <c r="Q82" s="99">
        <v>45134</v>
      </c>
      <c r="R82" s="99">
        <v>5546</v>
      </c>
      <c r="S82" s="99">
        <v>1701</v>
      </c>
      <c r="T82" s="99">
        <v>2619</v>
      </c>
      <c r="U82" s="99">
        <v>1036</v>
      </c>
      <c r="V82" s="99">
        <f>SUM(Q82:U82)</f>
        <v>56036</v>
      </c>
      <c r="W82" s="99">
        <f>V82*12</f>
        <v>672432</v>
      </c>
      <c r="X82" s="99">
        <v>37357.3333</v>
      </c>
      <c r="Z82">
        <v>1</v>
      </c>
    </row>
    <row r="83">
      <c r="A83" s="105" t="inlineStr">
        <is>
          <t xml:space="preserve">C6</t>
        </is>
      </c>
      <c r="B83" s="105" t="inlineStr">
        <is>
          <t xml:space="preserve">상황대처</t>
        </is>
      </c>
      <c r="C83" s="105" t="inlineStr">
        <is>
          <t xml:space="preserve">교통·주차 사고</t>
        </is>
      </c>
      <c r="D83" s="105" t="inlineStr">
        <is>
          <t xml:space="preserve"/>
        </is>
      </c>
      <c r="E83" s="105" t="inlineStr">
        <is>
          <t xml:space="preserve">2개 업무</t>
        </is>
      </c>
      <c r="F83" s="105" t="inlineStr">
        <is>
          <t xml:space="preserve"/>
        </is>
      </c>
      <c r="G83" s="105"/>
      <c r="H83" s="105"/>
      <c r="I83" s="105"/>
      <c r="J83" s="105"/>
      <c r="K83" s="105"/>
      <c r="L83" s="105"/>
      <c r="M83" s="172">
        <v>18.2467</v>
      </c>
      <c r="N83" s="172">
        <v>218.96</v>
      </c>
      <c r="O83" s="175">
        <v>0.0104</v>
      </c>
      <c r="P83" s="106">
        <v>32485.0566</v>
      </c>
      <c r="Q83" s="106">
        <v>477420</v>
      </c>
      <c r="R83" s="106">
        <v>58663</v>
      </c>
      <c r="S83" s="106">
        <v>17993</v>
      </c>
      <c r="T83" s="106">
        <v>27705</v>
      </c>
      <c r="U83" s="106">
        <v>10963</v>
      </c>
      <c r="V83" s="106">
        <f>SUM(Q83:U83)</f>
        <v>592744</v>
      </c>
      <c r="W83" s="106">
        <f>V83*12</f>
        <v>7112928</v>
      </c>
      <c r="X83" s="105"/>
      <c r="Z83">
        <v>0</v>
      </c>
    </row>
    <row r="84">
      <c r="A84" s="98" t="inlineStr">
        <is>
          <t xml:space="preserve">C6-1</t>
        </is>
      </c>
      <c r="B84" s="98" t="inlineStr">
        <is>
          <t xml:space="preserve">상황대처</t>
        </is>
      </c>
      <c r="C84" s="98" t="inlineStr">
        <is>
          <t xml:space="preserve">교통·주차 사고</t>
        </is>
      </c>
      <c r="D84" s="98" t="inlineStr">
        <is>
          <t xml:space="preserve">구내 교통사고 현장 통제·보고</t>
        </is>
      </c>
      <c r="E84" s="98" t="inlineStr">
        <is>
          <t xml:space="preserve">작업</t>
        </is>
      </c>
      <c r="F84" s="98" t="inlineStr">
        <is>
          <t xml:space="preserve">공통</t>
        </is>
      </c>
      <c r="G84" s="171">
        <v>40</v>
      </c>
      <c r="H84" s="99">
        <v>1</v>
      </c>
      <c r="I84" s="98" t="inlineStr">
        <is>
          <t xml:space="preserve">건</t>
        </is>
      </c>
      <c r="J84" s="171">
        <v>1</v>
      </c>
      <c r="K84" s="98" t="inlineStr">
        <is>
          <t xml:space="preserve">매월</t>
        </is>
      </c>
      <c r="L84" s="171">
        <v>1</v>
      </c>
      <c r="M84" s="171">
        <v>0.7667</v>
      </c>
      <c r="N84" s="171">
        <v>9.2</v>
      </c>
      <c r="O84" s="174">
        <v>0.0004</v>
      </c>
      <c r="P84" s="99">
        <v>32486.087</v>
      </c>
      <c r="Q84" s="99">
        <v>20060</v>
      </c>
      <c r="R84" s="99">
        <v>2465</v>
      </c>
      <c r="S84" s="99">
        <v>756</v>
      </c>
      <c r="T84" s="99">
        <v>1164</v>
      </c>
      <c r="U84" s="99">
        <v>461</v>
      </c>
      <c r="V84" s="99">
        <f>SUM(Q84:U84)</f>
        <v>24906</v>
      </c>
      <c r="W84" s="99">
        <f>V84*12</f>
        <v>298872</v>
      </c>
      <c r="X84" s="99">
        <v>24906</v>
      </c>
      <c r="Z84">
        <v>1</v>
      </c>
    </row>
    <row r="85">
      <c r="A85" s="98" t="inlineStr">
        <is>
          <t xml:space="preserve">C6-2</t>
        </is>
      </c>
      <c r="B85" s="98" t="inlineStr">
        <is>
          <t xml:space="preserve">상황대처</t>
        </is>
      </c>
      <c r="C85" s="98" t="inlineStr">
        <is>
          <t xml:space="preserve">교통·주차 사고</t>
        </is>
      </c>
      <c r="D85" s="98" t="inlineStr">
        <is>
          <t xml:space="preserve">통행 방해·불법주차 차량 조치</t>
        </is>
      </c>
      <c r="E85" s="98" t="inlineStr">
        <is>
          <t xml:space="preserve">작업</t>
        </is>
      </c>
      <c r="F85" s="98" t="inlineStr">
        <is>
          <t xml:space="preserve">공통</t>
        </is>
      </c>
      <c r="G85" s="171">
        <v>5</v>
      </c>
      <c r="H85" s="99">
        <v>6</v>
      </c>
      <c r="I85" s="98" t="inlineStr">
        <is>
          <t xml:space="preserve">건</t>
        </is>
      </c>
      <c r="J85" s="171">
        <v>1</v>
      </c>
      <c r="K85" s="98" t="inlineStr">
        <is>
          <t xml:space="preserve">매일</t>
        </is>
      </c>
      <c r="L85" s="171">
        <v>182.4</v>
      </c>
      <c r="M85" s="171">
        <v>17.48</v>
      </c>
      <c r="N85" s="171">
        <v>209.76</v>
      </c>
      <c r="O85" s="174">
        <v>0.01</v>
      </c>
      <c r="P85" s="99">
        <v>32485.0114</v>
      </c>
      <c r="Q85" s="99">
        <v>457360</v>
      </c>
      <c r="R85" s="99">
        <v>56198</v>
      </c>
      <c r="S85" s="99">
        <v>17237</v>
      </c>
      <c r="T85" s="99">
        <v>26541</v>
      </c>
      <c r="U85" s="99">
        <v>10502</v>
      </c>
      <c r="V85" s="99">
        <f>SUM(Q85:U85)</f>
        <v>567838</v>
      </c>
      <c r="W85" s="99">
        <f>V85*12</f>
        <v>6814056</v>
      </c>
      <c r="X85" s="99">
        <v>3113.1469</v>
      </c>
      <c r="Z85">
        <v>1</v>
      </c>
    </row>
    <row r="86">
      <c r="A86" s="105" t="inlineStr">
        <is>
          <t xml:space="preserve">D</t>
        </is>
      </c>
      <c r="B86" s="105" t="inlineStr">
        <is>
          <t xml:space="preserve">관제·방재</t>
        </is>
      </c>
      <c r="C86" s="105" t="inlineStr">
        <is>
          <t xml:space="preserve"/>
        </is>
      </c>
      <c r="D86" s="105" t="inlineStr">
        <is>
          <t xml:space="preserve"/>
        </is>
      </c>
      <c r="E86" s="105" t="inlineStr">
        <is>
          <t xml:space="preserve">9개 업무</t>
        </is>
      </c>
      <c r="F86" s="105" t="inlineStr">
        <is>
          <t xml:space="preserve"/>
        </is>
      </c>
      <c r="G86" s="105"/>
      <c r="H86" s="105"/>
      <c r="I86" s="105"/>
      <c r="J86" s="105"/>
      <c r="K86" s="105"/>
      <c r="L86" s="105"/>
      <c r="M86" s="172">
        <v>85.3848</v>
      </c>
      <c r="N86" s="172">
        <v>1024.6171</v>
      </c>
      <c r="O86" s="175">
        <v>0.0487</v>
      </c>
      <c r="P86" s="106">
        <v>32484.965</v>
      </c>
      <c r="Q86" s="106">
        <v>2234073</v>
      </c>
      <c r="R86" s="106">
        <v>274508</v>
      </c>
      <c r="S86" s="106">
        <v>84200</v>
      </c>
      <c r="T86" s="106">
        <v>129642</v>
      </c>
      <c r="U86" s="106">
        <v>51298</v>
      </c>
      <c r="V86" s="106">
        <f>SUM(Q86:U86)</f>
        <v>2773721</v>
      </c>
      <c r="W86" s="106">
        <f>V86*12</f>
        <v>33284652</v>
      </c>
      <c r="X86" s="105"/>
      <c r="Z86">
        <v>0</v>
      </c>
    </row>
    <row r="87">
      <c r="A87" s="105" t="inlineStr">
        <is>
          <t xml:space="preserve">D1</t>
        </is>
      </c>
      <c r="B87" s="105" t="inlineStr">
        <is>
          <t xml:space="preserve">관제·방재</t>
        </is>
      </c>
      <c r="C87" s="105" t="inlineStr">
        <is>
          <t xml:space="preserve">CCTV 관제</t>
        </is>
      </c>
      <c r="D87" s="105" t="inlineStr">
        <is>
          <t xml:space="preserve"/>
        </is>
      </c>
      <c r="E87" s="105" t="inlineStr">
        <is>
          <t xml:space="preserve">3개 업무</t>
        </is>
      </c>
      <c r="F87" s="105" t="inlineStr">
        <is>
          <t xml:space="preserve"/>
        </is>
      </c>
      <c r="G87" s="105"/>
      <c r="H87" s="105"/>
      <c r="I87" s="105"/>
      <c r="J87" s="105"/>
      <c r="K87" s="105"/>
      <c r="L87" s="105"/>
      <c r="M87" s="172">
        <v>47.254</v>
      </c>
      <c r="N87" s="172">
        <v>567.0486</v>
      </c>
      <c r="O87" s="175">
        <v>0.027</v>
      </c>
      <c r="P87" s="106">
        <v>32484.9632</v>
      </c>
      <c r="Q87" s="106">
        <v>1236391</v>
      </c>
      <c r="R87" s="106">
        <v>151920</v>
      </c>
      <c r="S87" s="106">
        <v>46598</v>
      </c>
      <c r="T87" s="106">
        <v>71747</v>
      </c>
      <c r="U87" s="106">
        <v>28390</v>
      </c>
      <c r="V87" s="106">
        <f>SUM(Q87:U87)</f>
        <v>1535046</v>
      </c>
      <c r="W87" s="106">
        <f>V87*12</f>
        <v>18420552</v>
      </c>
      <c r="X87" s="105"/>
      <c r="Z87">
        <v>0</v>
      </c>
    </row>
    <row r="88">
      <c r="A88" s="98" t="inlineStr">
        <is>
          <t xml:space="preserve">D1-1</t>
        </is>
      </c>
      <c r="B88" s="98" t="inlineStr">
        <is>
          <t xml:space="preserve">관제·방재</t>
        </is>
      </c>
      <c r="C88" s="98" t="inlineStr">
        <is>
          <t xml:space="preserve">CCTV 관제</t>
        </is>
      </c>
      <c r="D88" s="98" t="inlineStr">
        <is>
          <t xml:space="preserve">CCTV 모니터링 (정문 초소 겸무)</t>
        </is>
      </c>
      <c r="E88" s="98" t="inlineStr">
        <is>
          <t xml:space="preserve">작업</t>
        </is>
      </c>
      <c r="F88" s="98" t="inlineStr">
        <is>
          <t xml:space="preserve">공통</t>
        </is>
      </c>
      <c r="G88" s="171">
        <v>10</v>
      </c>
      <c r="H88" s="99">
        <v>1</v>
      </c>
      <c r="I88" s="98" t="inlineStr">
        <is>
          <t xml:space="preserve">회</t>
        </is>
      </c>
      <c r="J88" s="171">
        <v>6</v>
      </c>
      <c r="K88" s="98" t="inlineStr">
        <is>
          <t xml:space="preserve">매일</t>
        </is>
      </c>
      <c r="L88" s="171">
        <v>182.4</v>
      </c>
      <c r="M88" s="171">
        <v>34.96</v>
      </c>
      <c r="N88" s="171">
        <v>419.52</v>
      </c>
      <c r="O88" s="174">
        <v>0.0199</v>
      </c>
      <c r="P88" s="99">
        <v>32484.9828</v>
      </c>
      <c r="Q88" s="99">
        <v>914720</v>
      </c>
      <c r="R88" s="99">
        <v>112395</v>
      </c>
      <c r="S88" s="99">
        <v>34475</v>
      </c>
      <c r="T88" s="99">
        <v>53081</v>
      </c>
      <c r="U88" s="99">
        <v>21004</v>
      </c>
      <c r="V88" s="99">
        <f>SUM(Q88:U88)</f>
        <v>1135675</v>
      </c>
      <c r="W88" s="99">
        <f>V88*12</f>
        <v>13628100</v>
      </c>
      <c r="X88" s="99">
        <v>6226.2884</v>
      </c>
      <c r="Z88">
        <v>1</v>
      </c>
    </row>
    <row r="89">
      <c r="A89" s="98" t="inlineStr">
        <is>
          <t xml:space="preserve">D1-2</t>
        </is>
      </c>
      <c r="B89" s="98" t="inlineStr">
        <is>
          <t xml:space="preserve">관제·방재</t>
        </is>
      </c>
      <c r="C89" s="98" t="inlineStr">
        <is>
          <t xml:space="preserve">CCTV 관제</t>
        </is>
      </c>
      <c r="D89" s="98" t="inlineStr">
        <is>
          <t xml:space="preserve">CCTV 녹화 상태·카메라 점검</t>
        </is>
      </c>
      <c r="E89" s="98" t="inlineStr">
        <is>
          <t xml:space="preserve">작업</t>
        </is>
      </c>
      <c r="F89" s="98" t="inlineStr">
        <is>
          <t xml:space="preserve">공통</t>
        </is>
      </c>
      <c r="G89" s="171">
        <v>1</v>
      </c>
      <c r="H89" s="99">
        <v>120</v>
      </c>
      <c r="I89" s="98" t="inlineStr">
        <is>
          <t xml:space="preserve">대</t>
        </is>
      </c>
      <c r="J89" s="171">
        <v>1</v>
      </c>
      <c r="K89" s="98" t="inlineStr">
        <is>
          <t xml:space="preserve">매주</t>
        </is>
      </c>
      <c r="L89" s="171">
        <v>521.4286</v>
      </c>
      <c r="M89" s="171">
        <v>9.994</v>
      </c>
      <c r="N89" s="171">
        <v>119.9286</v>
      </c>
      <c r="O89" s="174">
        <v>0.0057</v>
      </c>
      <c r="P89" s="99">
        <v>32484.9363</v>
      </c>
      <c r="Q89" s="99">
        <v>261492</v>
      </c>
      <c r="R89" s="99">
        <v>32131</v>
      </c>
      <c r="S89" s="99">
        <v>9855</v>
      </c>
      <c r="T89" s="99">
        <v>15174</v>
      </c>
      <c r="U89" s="99">
        <v>6004</v>
      </c>
      <c r="V89" s="99">
        <f>SUM(Q89:U89)</f>
        <v>324656</v>
      </c>
      <c r="W89" s="99">
        <f>V89*12</f>
        <v>3895872</v>
      </c>
      <c r="X89" s="99">
        <v>622.6279</v>
      </c>
      <c r="Z89">
        <v>1</v>
      </c>
    </row>
    <row r="90">
      <c r="A90" s="98" t="inlineStr">
        <is>
          <t xml:space="preserve">D1-3</t>
        </is>
      </c>
      <c r="B90" s="98" t="inlineStr">
        <is>
          <t xml:space="preserve">관제·방재</t>
        </is>
      </c>
      <c r="C90" s="98" t="inlineStr">
        <is>
          <t xml:space="preserve">CCTV 관제</t>
        </is>
      </c>
      <c r="D90" s="98" t="inlineStr">
        <is>
          <t xml:space="preserve">영상 열람·반출 요청 처리</t>
        </is>
      </c>
      <c r="E90" s="98" t="inlineStr">
        <is>
          <t xml:space="preserve">작업</t>
        </is>
      </c>
      <c r="F90" s="98" t="inlineStr">
        <is>
          <t xml:space="preserve">공통</t>
        </is>
      </c>
      <c r="G90" s="171">
        <v>30</v>
      </c>
      <c r="H90" s="99">
        <v>1</v>
      </c>
      <c r="I90" s="98" t="inlineStr">
        <is>
          <t xml:space="preserve">건</t>
        </is>
      </c>
      <c r="J90" s="171">
        <v>4</v>
      </c>
      <c r="K90" s="98" t="inlineStr">
        <is>
          <t xml:space="preserve">매월</t>
        </is>
      </c>
      <c r="L90" s="171">
        <v>4</v>
      </c>
      <c r="M90" s="171">
        <v>2.3</v>
      </c>
      <c r="N90" s="171">
        <v>27.6</v>
      </c>
      <c r="O90" s="174">
        <v>0.0013</v>
      </c>
      <c r="P90" s="99">
        <v>32484.7826</v>
      </c>
      <c r="Q90" s="99">
        <v>60179</v>
      </c>
      <c r="R90" s="99">
        <v>7394</v>
      </c>
      <c r="S90" s="99">
        <v>2268</v>
      </c>
      <c r="T90" s="99">
        <v>3492</v>
      </c>
      <c r="U90" s="99">
        <v>1382</v>
      </c>
      <c r="V90" s="99">
        <f>SUM(Q90:U90)</f>
        <v>74715</v>
      </c>
      <c r="W90" s="99">
        <f>V90*12</f>
        <v>896580</v>
      </c>
      <c r="X90" s="99">
        <v>18678.75</v>
      </c>
      <c r="Z90">
        <v>1</v>
      </c>
    </row>
    <row r="91">
      <c r="A91" s="105" t="inlineStr">
        <is>
          <t xml:space="preserve">D2</t>
        </is>
      </c>
      <c r="B91" s="105" t="inlineStr">
        <is>
          <t xml:space="preserve">관제·방재</t>
        </is>
      </c>
      <c r="C91" s="105" t="inlineStr">
        <is>
          <t xml:space="preserve">방재·설비 감시</t>
        </is>
      </c>
      <c r="D91" s="105" t="inlineStr">
        <is>
          <t xml:space="preserve"/>
        </is>
      </c>
      <c r="E91" s="105" t="inlineStr">
        <is>
          <t xml:space="preserve">3개 업무</t>
        </is>
      </c>
      <c r="F91" s="105" t="inlineStr">
        <is>
          <t xml:space="preserve"/>
        </is>
      </c>
      <c r="G91" s="105"/>
      <c r="H91" s="105"/>
      <c r="I91" s="105"/>
      <c r="J91" s="105"/>
      <c r="K91" s="105"/>
      <c r="L91" s="105"/>
      <c r="M91" s="172">
        <v>32.0467</v>
      </c>
      <c r="N91" s="172">
        <v>384.56</v>
      </c>
      <c r="O91" s="175">
        <v>0.0183</v>
      </c>
      <c r="P91" s="106">
        <v>32484.9698</v>
      </c>
      <c r="Q91" s="106">
        <v>838494</v>
      </c>
      <c r="R91" s="106">
        <v>103029</v>
      </c>
      <c r="S91" s="106">
        <v>31602</v>
      </c>
      <c r="T91" s="106">
        <v>48657</v>
      </c>
      <c r="U91" s="106">
        <v>19253</v>
      </c>
      <c r="V91" s="106">
        <f>SUM(Q91:U91)</f>
        <v>1041035</v>
      </c>
      <c r="W91" s="106">
        <f>V91*12</f>
        <v>12492420</v>
      </c>
      <c r="X91" s="105"/>
      <c r="Z91">
        <v>0</v>
      </c>
    </row>
    <row r="92">
      <c r="A92" s="98" t="inlineStr">
        <is>
          <t xml:space="preserve">D2-1</t>
        </is>
      </c>
      <c r="B92" s="98" t="inlineStr">
        <is>
          <t xml:space="preserve">관제·방재</t>
        </is>
      </c>
      <c r="C92" s="98" t="inlineStr">
        <is>
          <t xml:space="preserve">방재·설비 감시</t>
        </is>
      </c>
      <c r="D92" s="98" t="inlineStr">
        <is>
          <t xml:space="preserve">화재수신기·방재반 감시 기록</t>
        </is>
      </c>
      <c r="E92" s="98" t="inlineStr">
        <is>
          <t xml:space="preserve">작업</t>
        </is>
      </c>
      <c r="F92" s="98" t="inlineStr">
        <is>
          <t xml:space="preserve">공통</t>
        </is>
      </c>
      <c r="G92" s="171">
        <v>10</v>
      </c>
      <c r="H92" s="99">
        <v>1</v>
      </c>
      <c r="I92" s="98" t="inlineStr">
        <is>
          <t xml:space="preserve">회</t>
        </is>
      </c>
      <c r="J92" s="171">
        <v>3</v>
      </c>
      <c r="K92" s="98" t="inlineStr">
        <is>
          <t xml:space="preserve">매일</t>
        </is>
      </c>
      <c r="L92" s="171">
        <v>91.2</v>
      </c>
      <c r="M92" s="171">
        <v>17.48</v>
      </c>
      <c r="N92" s="171">
        <v>209.76</v>
      </c>
      <c r="O92" s="174">
        <v>0.01</v>
      </c>
      <c r="P92" s="99">
        <v>32484.9542</v>
      </c>
      <c r="Q92" s="99">
        <v>457360</v>
      </c>
      <c r="R92" s="99">
        <v>56198</v>
      </c>
      <c r="S92" s="99">
        <v>17237</v>
      </c>
      <c r="T92" s="99">
        <v>26540</v>
      </c>
      <c r="U92" s="99">
        <v>10502</v>
      </c>
      <c r="V92" s="99">
        <f>SUM(Q92:U92)</f>
        <v>567837</v>
      </c>
      <c r="W92" s="99">
        <f>V92*12</f>
        <v>6814044</v>
      </c>
      <c r="X92" s="99">
        <v>6226.2829</v>
      </c>
      <c r="Z92">
        <v>1</v>
      </c>
    </row>
    <row r="93">
      <c r="A93" s="98" t="inlineStr">
        <is>
          <t xml:space="preserve">D2-2</t>
        </is>
      </c>
      <c r="B93" s="98" t="inlineStr">
        <is>
          <t xml:space="preserve">관제·방재</t>
        </is>
      </c>
      <c r="C93" s="98" t="inlineStr">
        <is>
          <t xml:space="preserve">방재·설비 감시</t>
        </is>
      </c>
      <c r="D93" s="98" t="inlineStr">
        <is>
          <t xml:space="preserve">무인경비·침입감지 알람 확인</t>
        </is>
      </c>
      <c r="E93" s="98" t="inlineStr">
        <is>
          <t xml:space="preserve">작업</t>
        </is>
      </c>
      <c r="F93" s="98" t="inlineStr">
        <is>
          <t xml:space="preserve">공통</t>
        </is>
      </c>
      <c r="G93" s="171">
        <v>10</v>
      </c>
      <c r="H93" s="99">
        <v>1</v>
      </c>
      <c r="I93" s="98" t="inlineStr">
        <is>
          <t xml:space="preserve">건</t>
        </is>
      </c>
      <c r="J93" s="171">
        <v>2</v>
      </c>
      <c r="K93" s="98" t="inlineStr">
        <is>
          <t xml:space="preserve">매일</t>
        </is>
      </c>
      <c r="L93" s="171">
        <v>60.8</v>
      </c>
      <c r="M93" s="171">
        <v>11.6533</v>
      </c>
      <c r="N93" s="171">
        <v>139.84</v>
      </c>
      <c r="O93" s="174">
        <v>0.0066</v>
      </c>
      <c r="P93" s="99">
        <v>32485.04</v>
      </c>
      <c r="Q93" s="99">
        <v>304907</v>
      </c>
      <c r="R93" s="99">
        <v>37465</v>
      </c>
      <c r="S93" s="99">
        <v>11492</v>
      </c>
      <c r="T93" s="99">
        <v>17694</v>
      </c>
      <c r="U93" s="99">
        <v>7001</v>
      </c>
      <c r="V93" s="99">
        <f>SUM(Q93:U93)</f>
        <v>378559</v>
      </c>
      <c r="W93" s="99">
        <f>V93*12</f>
        <v>4542708</v>
      </c>
      <c r="X93" s="99">
        <v>6226.2993</v>
      </c>
      <c r="Z93">
        <v>1</v>
      </c>
    </row>
    <row r="94">
      <c r="A94" s="98" t="inlineStr">
        <is>
          <t xml:space="preserve">D2-3</t>
        </is>
      </c>
      <c r="B94" s="98" t="inlineStr">
        <is>
          <t xml:space="preserve">관제·방재</t>
        </is>
      </c>
      <c r="C94" s="98" t="inlineStr">
        <is>
          <t xml:space="preserve">방재·설비 감시</t>
        </is>
      </c>
      <c r="D94" s="98" t="inlineStr">
        <is>
          <t xml:space="preserve">비상방송·안내방송 송출</t>
        </is>
      </c>
      <c r="E94" s="98" t="inlineStr">
        <is>
          <t xml:space="preserve">작업</t>
        </is>
      </c>
      <c r="F94" s="98" t="inlineStr">
        <is>
          <t xml:space="preserve">공통</t>
        </is>
      </c>
      <c r="G94" s="171">
        <v>5</v>
      </c>
      <c r="H94" s="99">
        <v>1</v>
      </c>
      <c r="I94" s="98" t="inlineStr">
        <is>
          <t xml:space="preserve">회</t>
        </is>
      </c>
      <c r="J94" s="171">
        <v>1</v>
      </c>
      <c r="K94" s="98" t="inlineStr">
        <is>
          <t xml:space="preserve">매일</t>
        </is>
      </c>
      <c r="L94" s="171">
        <v>30.4</v>
      </c>
      <c r="M94" s="171">
        <v>2.9133</v>
      </c>
      <c r="N94" s="171">
        <v>34.96</v>
      </c>
      <c r="O94" s="174">
        <v>0.0017</v>
      </c>
      <c r="P94" s="99">
        <v>32484.7826</v>
      </c>
      <c r="Q94" s="99">
        <v>76227</v>
      </c>
      <c r="R94" s="99">
        <v>9366</v>
      </c>
      <c r="S94" s="99">
        <v>2873</v>
      </c>
      <c r="T94" s="99">
        <v>4423</v>
      </c>
      <c r="U94" s="99">
        <v>1750</v>
      </c>
      <c r="V94" s="99">
        <f>SUM(Q94:U94)</f>
        <v>94639</v>
      </c>
      <c r="W94" s="99">
        <f>V94*12</f>
        <v>1135668</v>
      </c>
      <c r="X94" s="99">
        <v>3113.125</v>
      </c>
      <c r="Z94">
        <v>1</v>
      </c>
    </row>
    <row r="95">
      <c r="A95" s="105" t="inlineStr">
        <is>
          <t xml:space="preserve">D3</t>
        </is>
      </c>
      <c r="B95" s="105" t="inlineStr">
        <is>
          <t xml:space="preserve">관제·방재</t>
        </is>
      </c>
      <c r="C95" s="105" t="inlineStr">
        <is>
          <t xml:space="preserve">소방시설 일상점검</t>
        </is>
      </c>
      <c r="D95" s="105" t="inlineStr">
        <is>
          <t xml:space="preserve"/>
        </is>
      </c>
      <c r="E95" s="105" t="inlineStr">
        <is>
          <t xml:space="preserve">3개 업무</t>
        </is>
      </c>
      <c r="F95" s="105" t="inlineStr">
        <is>
          <t xml:space="preserve"/>
        </is>
      </c>
      <c r="G95" s="105"/>
      <c r="H95" s="105"/>
      <c r="I95" s="105"/>
      <c r="J95" s="105"/>
      <c r="K95" s="105"/>
      <c r="L95" s="105"/>
      <c r="M95" s="172">
        <v>6.084</v>
      </c>
      <c r="N95" s="172">
        <v>73.0086</v>
      </c>
      <c r="O95" s="175">
        <v>0.0035</v>
      </c>
      <c r="P95" s="106">
        <v>32484.9528</v>
      </c>
      <c r="Q95" s="106">
        <v>159188</v>
      </c>
      <c r="R95" s="106">
        <v>19559</v>
      </c>
      <c r="S95" s="106">
        <v>6000</v>
      </c>
      <c r="T95" s="106">
        <v>9238</v>
      </c>
      <c r="U95" s="106">
        <v>3655</v>
      </c>
      <c r="V95" s="106">
        <f>SUM(Q95:U95)</f>
        <v>197640</v>
      </c>
      <c r="W95" s="106">
        <f>V95*12</f>
        <v>2371680</v>
      </c>
      <c r="X95" s="105"/>
      <c r="Z95">
        <v>0</v>
      </c>
    </row>
    <row r="96">
      <c r="A96" s="98" t="inlineStr">
        <is>
          <t xml:space="preserve">D3-1</t>
        </is>
      </c>
      <c r="B96" s="98" t="inlineStr">
        <is>
          <t xml:space="preserve">관제·방재</t>
        </is>
      </c>
      <c r="C96" s="98" t="inlineStr">
        <is>
          <t xml:space="preserve">소방시설 일상점검</t>
        </is>
      </c>
      <c r="D96" s="98" t="inlineStr">
        <is>
          <t xml:space="preserve">소화기·옥내소화전 외관 점검</t>
        </is>
      </c>
      <c r="E96" s="98" t="inlineStr">
        <is>
          <t xml:space="preserve">작업</t>
        </is>
      </c>
      <c r="F96" s="98" t="inlineStr">
        <is>
          <t xml:space="preserve">공통</t>
        </is>
      </c>
      <c r="G96" s="171">
        <v>1</v>
      </c>
      <c r="H96" s="99">
        <v>125</v>
      </c>
      <c r="I96" s="98" t="inlineStr">
        <is>
          <t xml:space="preserve">개</t>
        </is>
      </c>
      <c r="J96" s="171">
        <v>1</v>
      </c>
      <c r="K96" s="98" t="inlineStr">
        <is>
          <t xml:space="preserve">매월</t>
        </is>
      </c>
      <c r="L96" s="171">
        <v>125</v>
      </c>
      <c r="M96" s="171">
        <v>2.3958</v>
      </c>
      <c r="N96" s="171">
        <v>28.75</v>
      </c>
      <c r="O96" s="174">
        <v>0.0014</v>
      </c>
      <c r="P96" s="99">
        <v>32484.7304</v>
      </c>
      <c r="Q96" s="99">
        <v>62686</v>
      </c>
      <c r="R96" s="99">
        <v>7702</v>
      </c>
      <c r="S96" s="99">
        <v>2363</v>
      </c>
      <c r="T96" s="99">
        <v>3638</v>
      </c>
      <c r="U96" s="99">
        <v>1439</v>
      </c>
      <c r="V96" s="99">
        <f>SUM(Q96:U96)</f>
        <v>77828</v>
      </c>
      <c r="W96" s="99">
        <f>V96*12</f>
        <v>933936</v>
      </c>
      <c r="X96" s="99">
        <v>622.624</v>
      </c>
      <c r="Z96">
        <v>1</v>
      </c>
    </row>
    <row r="97">
      <c r="A97" s="98" t="inlineStr">
        <is>
          <t xml:space="preserve">D3-2</t>
        </is>
      </c>
      <c r="B97" s="98" t="inlineStr">
        <is>
          <t xml:space="preserve">관제·방재</t>
        </is>
      </c>
      <c r="C97" s="98" t="inlineStr">
        <is>
          <t xml:space="preserve">소방시설 일상점검</t>
        </is>
      </c>
      <c r="D97" s="98" t="inlineStr">
        <is>
          <t xml:space="preserve">방화문·피난통로 적치물 확인</t>
        </is>
      </c>
      <c r="E97" s="98" t="inlineStr">
        <is>
          <t xml:space="preserve">작업</t>
        </is>
      </c>
      <c r="F97" s="98" t="inlineStr">
        <is>
          <t xml:space="preserve">공통</t>
        </is>
      </c>
      <c r="G97" s="171">
        <v>2</v>
      </c>
      <c r="H97" s="99">
        <v>18</v>
      </c>
      <c r="I97" s="98" t="inlineStr">
        <is>
          <t xml:space="preserve">층</t>
        </is>
      </c>
      <c r="J97" s="171">
        <v>1</v>
      </c>
      <c r="K97" s="98" t="inlineStr">
        <is>
          <t xml:space="preserve">매주</t>
        </is>
      </c>
      <c r="L97" s="171">
        <v>78.2143</v>
      </c>
      <c r="M97" s="171">
        <v>2.9982</v>
      </c>
      <c r="N97" s="171">
        <v>35.9786</v>
      </c>
      <c r="O97" s="174">
        <v>0.0017</v>
      </c>
      <c r="P97" s="99">
        <v>32485.003</v>
      </c>
      <c r="Q97" s="99">
        <v>78448</v>
      </c>
      <c r="R97" s="99">
        <v>9639</v>
      </c>
      <c r="S97" s="99">
        <v>2957</v>
      </c>
      <c r="T97" s="99">
        <v>4552</v>
      </c>
      <c r="U97" s="99">
        <v>1801</v>
      </c>
      <c r="V97" s="99">
        <f>SUM(Q97:U97)</f>
        <v>97397</v>
      </c>
      <c r="W97" s="99">
        <f>V97*12</f>
        <v>1168764</v>
      </c>
      <c r="X97" s="99">
        <v>1245.2584</v>
      </c>
      <c r="Z97">
        <v>1</v>
      </c>
    </row>
    <row r="98">
      <c r="A98" s="98" t="inlineStr">
        <is>
          <t xml:space="preserve">D3-3</t>
        </is>
      </c>
      <c r="B98" s="98" t="inlineStr">
        <is>
          <t xml:space="preserve">관제·방재</t>
        </is>
      </c>
      <c r="C98" s="98" t="inlineStr">
        <is>
          <t xml:space="preserve">소방시설 일상점검</t>
        </is>
      </c>
      <c r="D98" s="98" t="inlineStr">
        <is>
          <t xml:space="preserve">유도등·비상조명 점등 확인</t>
        </is>
      </c>
      <c r="E98" s="98" t="inlineStr">
        <is>
          <t xml:space="preserve">작업</t>
        </is>
      </c>
      <c r="F98" s="98" t="inlineStr">
        <is>
          <t xml:space="preserve">공통</t>
        </is>
      </c>
      <c r="G98" s="171">
        <v>0.5</v>
      </c>
      <c r="H98" s="99">
        <v>72</v>
      </c>
      <c r="I98" s="98" t="inlineStr">
        <is>
          <t xml:space="preserve">개</t>
        </is>
      </c>
      <c r="J98" s="171">
        <v>1</v>
      </c>
      <c r="K98" s="98" t="inlineStr">
        <is>
          <t xml:space="preserve">매월</t>
        </is>
      </c>
      <c r="L98" s="171">
        <v>72</v>
      </c>
      <c r="M98" s="171">
        <v>0.69</v>
      </c>
      <c r="N98" s="171">
        <v>8.28</v>
      </c>
      <c r="O98" s="174">
        <v>0.0004</v>
      </c>
      <c r="P98" s="99">
        <v>32485.5072</v>
      </c>
      <c r="Q98" s="99">
        <v>18054</v>
      </c>
      <c r="R98" s="99">
        <v>2218</v>
      </c>
      <c r="S98" s="99">
        <v>680</v>
      </c>
      <c r="T98" s="99">
        <v>1048</v>
      </c>
      <c r="U98" s="99">
        <v>415</v>
      </c>
      <c r="V98" s="99">
        <f>SUM(Q98:U98)</f>
        <v>22415</v>
      </c>
      <c r="W98" s="99">
        <f>V98*12</f>
        <v>268980</v>
      </c>
      <c r="X98" s="99">
        <v>311.3194</v>
      </c>
      <c r="Z98">
        <v>1</v>
      </c>
    </row>
    <row r="99">
      <c r="A99" s="105" t="inlineStr">
        <is>
          <t xml:space="preserve">E</t>
        </is>
      </c>
      <c r="B99" s="105" t="inlineStr">
        <is>
          <t xml:space="preserve">고객사 업무 지원</t>
        </is>
      </c>
      <c r="C99" s="105" t="inlineStr">
        <is>
          <t xml:space="preserve"/>
        </is>
      </c>
      <c r="D99" s="105" t="inlineStr">
        <is>
          <t xml:space="preserve"/>
        </is>
      </c>
      <c r="E99" s="105" t="inlineStr">
        <is>
          <t xml:space="preserve">11개 업무</t>
        </is>
      </c>
      <c r="F99" s="105" t="inlineStr">
        <is>
          <t xml:space="preserve"/>
        </is>
      </c>
      <c r="G99" s="105"/>
      <c r="H99" s="105"/>
      <c r="I99" s="105"/>
      <c r="J99" s="105"/>
      <c r="K99" s="105"/>
      <c r="L99" s="105"/>
      <c r="M99" s="172">
        <v>118.6394</v>
      </c>
      <c r="N99" s="172">
        <v>1423.6726</v>
      </c>
      <c r="O99" s="175">
        <v>0.0677</v>
      </c>
      <c r="P99" s="106">
        <v>32484.9965</v>
      </c>
      <c r="Q99" s="106">
        <v>3104173</v>
      </c>
      <c r="R99" s="106">
        <v>381423</v>
      </c>
      <c r="S99" s="106">
        <v>116992</v>
      </c>
      <c r="T99" s="106">
        <v>180134</v>
      </c>
      <c r="U99" s="106">
        <v>71278</v>
      </c>
      <c r="V99" s="106">
        <f>SUM(Q99:U99)</f>
        <v>3854000</v>
      </c>
      <c r="W99" s="106">
        <f>V99*12</f>
        <v>46248000</v>
      </c>
      <c r="X99" s="105"/>
      <c r="Z99">
        <v>0</v>
      </c>
    </row>
    <row r="100">
      <c r="A100" s="105" t="inlineStr">
        <is>
          <t xml:space="preserve">E1</t>
        </is>
      </c>
      <c r="B100" s="105" t="inlineStr">
        <is>
          <t xml:space="preserve">고객사 업무 지원</t>
        </is>
      </c>
      <c r="C100" s="105" t="inlineStr">
        <is>
          <t xml:space="preserve">안내·의전</t>
        </is>
      </c>
      <c r="D100" s="105" t="inlineStr">
        <is>
          <t xml:space="preserve"/>
        </is>
      </c>
      <c r="E100" s="105" t="inlineStr">
        <is>
          <t xml:space="preserve">3개 업무</t>
        </is>
      </c>
      <c r="F100" s="105" t="inlineStr">
        <is>
          <t xml:space="preserve"/>
        </is>
      </c>
      <c r="G100" s="105"/>
      <c r="H100" s="105"/>
      <c r="I100" s="105"/>
      <c r="J100" s="105"/>
      <c r="K100" s="105"/>
      <c r="L100" s="105"/>
      <c r="M100" s="172">
        <v>9.3917</v>
      </c>
      <c r="N100" s="172">
        <v>112.7</v>
      </c>
      <c r="O100" s="175">
        <v>0.0054</v>
      </c>
      <c r="P100" s="106">
        <v>32484.8625</v>
      </c>
      <c r="Q100" s="106">
        <v>245731</v>
      </c>
      <c r="R100" s="106">
        <v>30194</v>
      </c>
      <c r="S100" s="106">
        <v>9261</v>
      </c>
      <c r="T100" s="106">
        <v>14259</v>
      </c>
      <c r="U100" s="106">
        <v>5642</v>
      </c>
      <c r="V100" s="106">
        <f>SUM(Q100:U100)</f>
        <v>305087</v>
      </c>
      <c r="W100" s="106">
        <f>V100*12</f>
        <v>3661044</v>
      </c>
      <c r="X100" s="105"/>
      <c r="Z100">
        <v>0</v>
      </c>
    </row>
    <row r="101">
      <c r="A101" s="98" t="inlineStr">
        <is>
          <t xml:space="preserve">E1-1</t>
        </is>
      </c>
      <c r="B101" s="98" t="inlineStr">
        <is>
          <t xml:space="preserve">고객사 업무 지원</t>
        </is>
      </c>
      <c r="C101" s="98" t="inlineStr">
        <is>
          <t xml:space="preserve">안내·의전</t>
        </is>
      </c>
      <c r="D101" s="98" t="inlineStr">
        <is>
          <t xml:space="preserve">VIP·귀빈 영접 및 차량 안내</t>
        </is>
      </c>
      <c r="E101" s="98" t="inlineStr">
        <is>
          <t xml:space="preserve">작업</t>
        </is>
      </c>
      <c r="F101" s="98" t="inlineStr">
        <is>
          <t xml:space="preserve">공통</t>
        </is>
      </c>
      <c r="G101" s="171">
        <v>20</v>
      </c>
      <c r="H101" s="99">
        <v>2</v>
      </c>
      <c r="I101" s="98" t="inlineStr">
        <is>
          <t xml:space="preserve">건</t>
        </is>
      </c>
      <c r="J101" s="171">
        <v>4</v>
      </c>
      <c r="K101" s="98" t="inlineStr">
        <is>
          <t xml:space="preserve">매월</t>
        </is>
      </c>
      <c r="L101" s="171">
        <v>8</v>
      </c>
      <c r="M101" s="171">
        <v>3.0667</v>
      </c>
      <c r="N101" s="171">
        <v>36.8</v>
      </c>
      <c r="O101" s="174">
        <v>0.0017</v>
      </c>
      <c r="P101" s="99">
        <v>32484.7826</v>
      </c>
      <c r="Q101" s="99">
        <v>80239</v>
      </c>
      <c r="R101" s="99">
        <v>9859</v>
      </c>
      <c r="S101" s="99">
        <v>3024</v>
      </c>
      <c r="T101" s="99">
        <v>4656</v>
      </c>
      <c r="U101" s="99">
        <v>1842</v>
      </c>
      <c r="V101" s="99">
        <f>SUM(Q101:U101)</f>
        <v>99620</v>
      </c>
      <c r="W101" s="99">
        <f>V101*12</f>
        <v>1195440</v>
      </c>
      <c r="X101" s="99">
        <v>12452.5</v>
      </c>
      <c r="Z101">
        <v>1</v>
      </c>
    </row>
    <row r="102">
      <c r="A102" s="98" t="inlineStr">
        <is>
          <t xml:space="preserve">E1-2</t>
        </is>
      </c>
      <c r="B102" s="98" t="inlineStr">
        <is>
          <t xml:space="preserve">고객사 업무 지원</t>
        </is>
      </c>
      <c r="C102" s="98" t="inlineStr">
        <is>
          <t xml:space="preserve">안내·의전</t>
        </is>
      </c>
      <c r="D102" s="98" t="inlineStr">
        <is>
          <t xml:space="preserve">회의·행사장 출입 통제</t>
        </is>
      </c>
      <c r="E102" s="98" t="inlineStr">
        <is>
          <t xml:space="preserve">작업</t>
        </is>
      </c>
      <c r="F102" s="98" t="inlineStr">
        <is>
          <t xml:space="preserve">공통</t>
        </is>
      </c>
      <c r="G102" s="171">
        <v>120</v>
      </c>
      <c r="H102" s="99">
        <v>2</v>
      </c>
      <c r="I102" s="98" t="inlineStr">
        <is>
          <t xml:space="preserve">회</t>
        </is>
      </c>
      <c r="J102" s="171">
        <v>1</v>
      </c>
      <c r="K102" s="98" t="inlineStr">
        <is>
          <t xml:space="preserve">매월</t>
        </is>
      </c>
      <c r="L102" s="171">
        <v>2</v>
      </c>
      <c r="M102" s="171">
        <v>4.6</v>
      </c>
      <c r="N102" s="171">
        <v>55.2</v>
      </c>
      <c r="O102" s="174">
        <v>0.0026</v>
      </c>
      <c r="P102" s="99">
        <v>32485</v>
      </c>
      <c r="Q102" s="99">
        <v>120358</v>
      </c>
      <c r="R102" s="99">
        <v>14789</v>
      </c>
      <c r="S102" s="99">
        <v>4536</v>
      </c>
      <c r="T102" s="99">
        <v>6984</v>
      </c>
      <c r="U102" s="99">
        <v>2764</v>
      </c>
      <c r="V102" s="99">
        <f>SUM(Q102:U102)</f>
        <v>149431</v>
      </c>
      <c r="W102" s="99">
        <f>V102*12</f>
        <v>1793172</v>
      </c>
      <c r="X102" s="99">
        <v>74715.5</v>
      </c>
      <c r="Z102">
        <v>1</v>
      </c>
    </row>
    <row r="103">
      <c r="A103" s="98" t="inlineStr">
        <is>
          <t xml:space="preserve">E1-3</t>
        </is>
      </c>
      <c r="B103" s="98" t="inlineStr">
        <is>
          <t xml:space="preserve">고객사 업무 지원</t>
        </is>
      </c>
      <c r="C103" s="98" t="inlineStr">
        <is>
          <t xml:space="preserve">안내·의전</t>
        </is>
      </c>
      <c r="D103" s="98" t="inlineStr">
        <is>
          <t xml:space="preserve">행사 주차 안내·교통 정리</t>
        </is>
      </c>
      <c r="E103" s="98" t="inlineStr">
        <is>
          <t xml:space="preserve">작업</t>
        </is>
      </c>
      <c r="F103" s="98" t="inlineStr">
        <is>
          <t xml:space="preserve">공통</t>
        </is>
      </c>
      <c r="G103" s="171">
        <v>90</v>
      </c>
      <c r="H103" s="99">
        <v>1</v>
      </c>
      <c r="I103" s="98" t="inlineStr">
        <is>
          <t xml:space="preserve">회</t>
        </is>
      </c>
      <c r="J103" s="171">
        <v>1</v>
      </c>
      <c r="K103" s="98" t="inlineStr">
        <is>
          <t xml:space="preserve">매월</t>
        </is>
      </c>
      <c r="L103" s="171">
        <v>1</v>
      </c>
      <c r="M103" s="171">
        <v>1.725</v>
      </c>
      <c r="N103" s="171">
        <v>20.7</v>
      </c>
      <c r="O103" s="174">
        <v>0.001</v>
      </c>
      <c r="P103" s="99">
        <v>32484.6377</v>
      </c>
      <c r="Q103" s="99">
        <v>45134</v>
      </c>
      <c r="R103" s="99">
        <v>5546</v>
      </c>
      <c r="S103" s="99">
        <v>1701</v>
      </c>
      <c r="T103" s="99">
        <v>2619</v>
      </c>
      <c r="U103" s="99">
        <v>1036</v>
      </c>
      <c r="V103" s="99">
        <f>SUM(Q103:U103)</f>
        <v>56036</v>
      </c>
      <c r="W103" s="99">
        <f>V103*12</f>
        <v>672432</v>
      </c>
      <c r="X103" s="99">
        <v>56036</v>
      </c>
      <c r="Z103">
        <v>1</v>
      </c>
    </row>
    <row r="104">
      <c r="A104" s="105" t="inlineStr">
        <is>
          <t xml:space="preserve">E2</t>
        </is>
      </c>
      <c r="B104" s="105" t="inlineStr">
        <is>
          <t xml:space="preserve">고객사 업무 지원</t>
        </is>
      </c>
      <c r="C104" s="105" t="inlineStr">
        <is>
          <t xml:space="preserve">행정 지원</t>
        </is>
      </c>
      <c r="D104" s="105" t="inlineStr">
        <is>
          <t xml:space="preserve"/>
        </is>
      </c>
      <c r="E104" s="105" t="inlineStr">
        <is>
          <t xml:space="preserve">4개 업무</t>
        </is>
      </c>
      <c r="F104" s="105" t="inlineStr">
        <is>
          <t xml:space="preserve"/>
        </is>
      </c>
      <c r="G104" s="105"/>
      <c r="H104" s="105"/>
      <c r="I104" s="105"/>
      <c r="J104" s="105"/>
      <c r="K104" s="105"/>
      <c r="L104" s="105"/>
      <c r="M104" s="172">
        <v>51.2133</v>
      </c>
      <c r="N104" s="172">
        <v>614.56</v>
      </c>
      <c r="O104" s="175">
        <v>0.0292</v>
      </c>
      <c r="P104" s="106">
        <v>32485.0169</v>
      </c>
      <c r="Q104" s="106">
        <v>1339985</v>
      </c>
      <c r="R104" s="106">
        <v>164650</v>
      </c>
      <c r="S104" s="106">
        <v>50502</v>
      </c>
      <c r="T104" s="106">
        <v>77759</v>
      </c>
      <c r="U104" s="106">
        <v>30770</v>
      </c>
      <c r="V104" s="106">
        <f>SUM(Q104:U104)</f>
        <v>1663666</v>
      </c>
      <c r="W104" s="106">
        <f>V104*12</f>
        <v>19963992</v>
      </c>
      <c r="X104" s="105"/>
      <c r="Z104">
        <v>0</v>
      </c>
    </row>
    <row r="105">
      <c r="A105" s="98" t="inlineStr">
        <is>
          <t xml:space="preserve">E2-1</t>
        </is>
      </c>
      <c r="B105" s="98" t="inlineStr">
        <is>
          <t xml:space="preserve">고객사 업무 지원</t>
        </is>
      </c>
      <c r="C105" s="98" t="inlineStr">
        <is>
          <t xml:space="preserve">행정 지원</t>
        </is>
      </c>
      <c r="D105" s="98" t="inlineStr">
        <is>
          <t xml:space="preserve">열쇠·출입카드 보관·대여 관리</t>
        </is>
      </c>
      <c r="E105" s="98" t="inlineStr">
        <is>
          <t xml:space="preserve">작업</t>
        </is>
      </c>
      <c r="F105" s="98" t="inlineStr">
        <is>
          <t xml:space="preserve">공통</t>
        </is>
      </c>
      <c r="G105" s="171">
        <v>2</v>
      </c>
      <c r="H105" s="99">
        <v>20</v>
      </c>
      <c r="I105" s="98" t="inlineStr">
        <is>
          <t xml:space="preserve">건</t>
        </is>
      </c>
      <c r="J105" s="171">
        <v>1</v>
      </c>
      <c r="K105" s="98" t="inlineStr">
        <is>
          <t xml:space="preserve">매일</t>
        </is>
      </c>
      <c r="L105" s="171">
        <v>608</v>
      </c>
      <c r="M105" s="171">
        <v>23.3067</v>
      </c>
      <c r="N105" s="171">
        <v>279.68</v>
      </c>
      <c r="O105" s="174">
        <v>0.0133</v>
      </c>
      <c r="P105" s="99">
        <v>32484.9971</v>
      </c>
      <c r="Q105" s="99">
        <v>609814</v>
      </c>
      <c r="R105" s="99">
        <v>74930</v>
      </c>
      <c r="S105" s="99">
        <v>22983</v>
      </c>
      <c r="T105" s="99">
        <v>35387</v>
      </c>
      <c r="U105" s="99">
        <v>14003</v>
      </c>
      <c r="V105" s="99">
        <f>SUM(Q105:U105)</f>
        <v>757117</v>
      </c>
      <c r="W105" s="99">
        <f>V105*12</f>
        <v>9085404</v>
      </c>
      <c r="X105" s="99">
        <v>1245.2582</v>
      </c>
      <c r="Z105">
        <v>1</v>
      </c>
    </row>
    <row r="106">
      <c r="A106" s="98" t="inlineStr">
        <is>
          <t xml:space="preserve">E2-2</t>
        </is>
      </c>
      <c r="B106" s="98" t="inlineStr">
        <is>
          <t xml:space="preserve">고객사 업무 지원</t>
        </is>
      </c>
      <c r="C106" s="98" t="inlineStr">
        <is>
          <t xml:space="preserve">행정 지원</t>
        </is>
      </c>
      <c r="D106" s="98" t="inlineStr">
        <is>
          <t xml:space="preserve">분실물·습득물 접수·보관·반환</t>
        </is>
      </c>
      <c r="E106" s="98" t="inlineStr">
        <is>
          <t xml:space="preserve">작업</t>
        </is>
      </c>
      <c r="F106" s="98" t="inlineStr">
        <is>
          <t xml:space="preserve">공통</t>
        </is>
      </c>
      <c r="G106" s="171">
        <v>5</v>
      </c>
      <c r="H106" s="99">
        <v>2</v>
      </c>
      <c r="I106" s="98" t="inlineStr">
        <is>
          <t xml:space="preserve">건</t>
        </is>
      </c>
      <c r="J106" s="171">
        <v>1</v>
      </c>
      <c r="K106" s="98" t="inlineStr">
        <is>
          <t xml:space="preserve">매일</t>
        </is>
      </c>
      <c r="L106" s="171">
        <v>60.8</v>
      </c>
      <c r="M106" s="171">
        <v>5.8267</v>
      </c>
      <c r="N106" s="171">
        <v>69.92</v>
      </c>
      <c r="O106" s="174">
        <v>0.0033</v>
      </c>
      <c r="P106" s="99">
        <v>32485.1259</v>
      </c>
      <c r="Q106" s="99">
        <v>152453</v>
      </c>
      <c r="R106" s="99">
        <v>18733</v>
      </c>
      <c r="S106" s="99">
        <v>5746</v>
      </c>
      <c r="T106" s="99">
        <v>8847</v>
      </c>
      <c r="U106" s="99">
        <v>3501</v>
      </c>
      <c r="V106" s="99">
        <f>SUM(Q106:U106)</f>
        <v>189280</v>
      </c>
      <c r="W106" s="99">
        <f>V106*12</f>
        <v>2271360</v>
      </c>
      <c r="X106" s="99">
        <v>3113.1579</v>
      </c>
      <c r="Z106">
        <v>1</v>
      </c>
    </row>
    <row r="107">
      <c r="A107" s="98" t="inlineStr">
        <is>
          <t xml:space="preserve">E2-3</t>
        </is>
      </c>
      <c r="B107" s="98" t="inlineStr">
        <is>
          <t xml:space="preserve">고객사 업무 지원</t>
        </is>
      </c>
      <c r="C107" s="98" t="inlineStr">
        <is>
          <t xml:space="preserve">행정 지원</t>
        </is>
      </c>
      <c r="D107" s="98" t="inlineStr">
        <is>
          <t xml:space="preserve">공지문·게시물 부착·회수</t>
        </is>
      </c>
      <c r="E107" s="98" t="inlineStr">
        <is>
          <t xml:space="preserve">작업</t>
        </is>
      </c>
      <c r="F107" s="98" t="inlineStr">
        <is>
          <t xml:space="preserve">공통</t>
        </is>
      </c>
      <c r="G107" s="171">
        <v>20</v>
      </c>
      <c r="H107" s="99">
        <v>6</v>
      </c>
      <c r="I107" s="98" t="inlineStr">
        <is>
          <t xml:space="preserve">동</t>
        </is>
      </c>
      <c r="J107" s="171">
        <v>2</v>
      </c>
      <c r="K107" s="98" t="inlineStr">
        <is>
          <t xml:space="preserve">매월</t>
        </is>
      </c>
      <c r="L107" s="171">
        <v>12</v>
      </c>
      <c r="M107" s="171">
        <v>4.6</v>
      </c>
      <c r="N107" s="171">
        <v>55.2</v>
      </c>
      <c r="O107" s="174">
        <v>0.0026</v>
      </c>
      <c r="P107" s="99">
        <v>32485</v>
      </c>
      <c r="Q107" s="99">
        <v>120358</v>
      </c>
      <c r="R107" s="99">
        <v>14789</v>
      </c>
      <c r="S107" s="99">
        <v>4536</v>
      </c>
      <c r="T107" s="99">
        <v>6984</v>
      </c>
      <c r="U107" s="99">
        <v>2764</v>
      </c>
      <c r="V107" s="99">
        <f>SUM(Q107:U107)</f>
        <v>149431</v>
      </c>
      <c r="W107" s="99">
        <f>V107*12</f>
        <v>1793172</v>
      </c>
      <c r="X107" s="99">
        <v>12452.5833</v>
      </c>
      <c r="Z107">
        <v>1</v>
      </c>
    </row>
    <row r="108">
      <c r="A108" s="98" t="inlineStr">
        <is>
          <t xml:space="preserve">E2-4</t>
        </is>
      </c>
      <c r="B108" s="98" t="inlineStr">
        <is>
          <t xml:space="preserve">고객사 업무 지원</t>
        </is>
      </c>
      <c r="C108" s="98" t="inlineStr">
        <is>
          <t xml:space="preserve">행정 지원</t>
        </is>
      </c>
      <c r="D108" s="98" t="inlineStr">
        <is>
          <t xml:space="preserve">고객사 요청 문서·물품 전달</t>
        </is>
      </c>
      <c r="E108" s="98" t="inlineStr">
        <is>
          <t xml:space="preserve">작업</t>
        </is>
      </c>
      <c r="F108" s="98" t="inlineStr">
        <is>
          <t xml:space="preserve">공통</t>
        </is>
      </c>
      <c r="G108" s="171">
        <v>15</v>
      </c>
      <c r="H108" s="99">
        <v>2</v>
      </c>
      <c r="I108" s="98" t="inlineStr">
        <is>
          <t xml:space="preserve">건</t>
        </is>
      </c>
      <c r="J108" s="171">
        <v>1</v>
      </c>
      <c r="K108" s="98" t="inlineStr">
        <is>
          <t xml:space="preserve">매일</t>
        </is>
      </c>
      <c r="L108" s="171">
        <v>60.8</v>
      </c>
      <c r="M108" s="171">
        <v>17.48</v>
      </c>
      <c r="N108" s="171">
        <v>209.76</v>
      </c>
      <c r="O108" s="174">
        <v>0.01</v>
      </c>
      <c r="P108" s="99">
        <v>32485.0114</v>
      </c>
      <c r="Q108" s="99">
        <v>457360</v>
      </c>
      <c r="R108" s="99">
        <v>56198</v>
      </c>
      <c r="S108" s="99">
        <v>17237</v>
      </c>
      <c r="T108" s="99">
        <v>26541</v>
      </c>
      <c r="U108" s="99">
        <v>10502</v>
      </c>
      <c r="V108" s="99">
        <f>SUM(Q108:U108)</f>
        <v>567838</v>
      </c>
      <c r="W108" s="99">
        <f>V108*12</f>
        <v>6814056</v>
      </c>
      <c r="X108" s="99">
        <v>9339.4408</v>
      </c>
      <c r="Z108">
        <v>1</v>
      </c>
    </row>
    <row r="109">
      <c r="A109" s="105" t="inlineStr">
        <is>
          <t xml:space="preserve">E3</t>
        </is>
      </c>
      <c r="B109" s="105" t="inlineStr">
        <is>
          <t xml:space="preserve">고객사 업무 지원</t>
        </is>
      </c>
      <c r="C109" s="105" t="inlineStr">
        <is>
          <t xml:space="preserve">시설·환경 지원</t>
        </is>
      </c>
      <c r="D109" s="105" t="inlineStr">
        <is>
          <t xml:space="preserve"/>
        </is>
      </c>
      <c r="E109" s="105" t="inlineStr">
        <is>
          <t xml:space="preserve">2개 업무</t>
        </is>
      </c>
      <c r="F109" s="105" t="inlineStr">
        <is>
          <t xml:space="preserve"/>
        </is>
      </c>
      <c r="G109" s="105"/>
      <c r="H109" s="105"/>
      <c r="I109" s="105"/>
      <c r="J109" s="105"/>
      <c r="K109" s="105"/>
      <c r="L109" s="105"/>
      <c r="M109" s="172">
        <v>12.2283</v>
      </c>
      <c r="N109" s="172">
        <v>146.74</v>
      </c>
      <c r="O109" s="175">
        <v>0.007</v>
      </c>
      <c r="P109" s="106">
        <v>32485.0484</v>
      </c>
      <c r="Q109" s="106">
        <v>319952</v>
      </c>
      <c r="R109" s="106">
        <v>39314</v>
      </c>
      <c r="S109" s="106">
        <v>12059</v>
      </c>
      <c r="T109" s="106">
        <v>18567</v>
      </c>
      <c r="U109" s="106">
        <v>7346</v>
      </c>
      <c r="V109" s="106">
        <f>SUM(Q109:U109)</f>
        <v>397238</v>
      </c>
      <c r="W109" s="106">
        <f>V109*12</f>
        <v>4766856</v>
      </c>
      <c r="X109" s="105"/>
      <c r="Z109">
        <v>0</v>
      </c>
    </row>
    <row r="110">
      <c r="A110" s="98" t="inlineStr">
        <is>
          <t xml:space="preserve">E3-1</t>
        </is>
      </c>
      <c r="B110" s="98" t="inlineStr">
        <is>
          <t xml:space="preserve">고객사 업무 지원</t>
        </is>
      </c>
      <c r="C110" s="98" t="inlineStr">
        <is>
          <t xml:space="preserve">시설·환경 지원</t>
        </is>
      </c>
      <c r="D110" s="98" t="inlineStr">
        <is>
          <t xml:space="preserve">제설·염화칼슘 살포 지원</t>
        </is>
      </c>
      <c r="E110" s="98" t="inlineStr">
        <is>
          <t xml:space="preserve">작업</t>
        </is>
      </c>
      <c r="F110" s="98" t="inlineStr">
        <is>
          <t xml:space="preserve">공통</t>
        </is>
      </c>
      <c r="G110" s="171">
        <v>60</v>
      </c>
      <c r="H110" s="99">
        <v>2</v>
      </c>
      <c r="I110" s="98" t="inlineStr">
        <is>
          <t xml:space="preserve">구역</t>
        </is>
      </c>
      <c r="J110" s="171">
        <v>3</v>
      </c>
      <c r="K110" s="98" t="inlineStr">
        <is>
          <t xml:space="preserve">매년</t>
        </is>
      </c>
      <c r="L110" s="171">
        <v>0.5</v>
      </c>
      <c r="M110" s="171">
        <v>0.575</v>
      </c>
      <c r="N110" s="171">
        <v>6.9</v>
      </c>
      <c r="O110" s="174">
        <v>0.0003</v>
      </c>
      <c r="P110" s="99">
        <v>32485.2174</v>
      </c>
      <c r="Q110" s="99">
        <v>15045</v>
      </c>
      <c r="R110" s="99">
        <v>1849</v>
      </c>
      <c r="S110" s="99">
        <v>567</v>
      </c>
      <c r="T110" s="99">
        <v>873</v>
      </c>
      <c r="U110" s="99">
        <v>345</v>
      </c>
      <c r="V110" s="99">
        <f>SUM(Q110:U110)</f>
        <v>18679</v>
      </c>
      <c r="W110" s="99">
        <f>V110*12</f>
        <v>224148</v>
      </c>
      <c r="X110" s="99">
        <v>37358</v>
      </c>
      <c r="Z110">
        <v>1</v>
      </c>
    </row>
    <row r="111">
      <c r="A111" s="98" t="inlineStr">
        <is>
          <t xml:space="preserve">E3-2</t>
        </is>
      </c>
      <c r="B111" s="98" t="inlineStr">
        <is>
          <t xml:space="preserve">고객사 업무 지원</t>
        </is>
      </c>
      <c r="C111" s="98" t="inlineStr">
        <is>
          <t xml:space="preserve">시설·환경 지원</t>
        </is>
      </c>
      <c r="D111" s="98" t="inlineStr">
        <is>
          <t xml:space="preserve">시설 고장 접수·설비팀 연계</t>
        </is>
      </c>
      <c r="E111" s="98" t="inlineStr">
        <is>
          <t xml:space="preserve">작업</t>
        </is>
      </c>
      <c r="F111" s="98" t="inlineStr">
        <is>
          <t xml:space="preserve">공통</t>
        </is>
      </c>
      <c r="G111" s="171">
        <v>10</v>
      </c>
      <c r="H111" s="99">
        <v>2</v>
      </c>
      <c r="I111" s="98" t="inlineStr">
        <is>
          <t xml:space="preserve">건</t>
        </is>
      </c>
      <c r="J111" s="171">
        <v>1</v>
      </c>
      <c r="K111" s="98" t="inlineStr">
        <is>
          <t xml:space="preserve">매일</t>
        </is>
      </c>
      <c r="L111" s="171">
        <v>60.8</v>
      </c>
      <c r="M111" s="171">
        <v>11.6533</v>
      </c>
      <c r="N111" s="171">
        <v>139.84</v>
      </c>
      <c r="O111" s="174">
        <v>0.0066</v>
      </c>
      <c r="P111" s="99">
        <v>32485.04</v>
      </c>
      <c r="Q111" s="99">
        <v>304907</v>
      </c>
      <c r="R111" s="99">
        <v>37465</v>
      </c>
      <c r="S111" s="99">
        <v>11492</v>
      </c>
      <c r="T111" s="99">
        <v>17694</v>
      </c>
      <c r="U111" s="99">
        <v>7001</v>
      </c>
      <c r="V111" s="99">
        <f>SUM(Q111:U111)</f>
        <v>378559</v>
      </c>
      <c r="W111" s="99">
        <f>V111*12</f>
        <v>4542708</v>
      </c>
      <c r="X111" s="99">
        <v>6226.2993</v>
      </c>
      <c r="Z111">
        <v>1</v>
      </c>
    </row>
    <row r="112">
      <c r="A112" s="105" t="inlineStr">
        <is>
          <t xml:space="preserve">E4</t>
        </is>
      </c>
      <c r="B112" s="105" t="inlineStr">
        <is>
          <t xml:space="preserve">고객사 업무 지원</t>
        </is>
      </c>
      <c r="C112" s="105" t="inlineStr">
        <is>
          <t xml:space="preserve">업종별 특수 지원</t>
        </is>
      </c>
      <c r="D112" s="105" t="inlineStr">
        <is>
          <t xml:space="preserve"/>
        </is>
      </c>
      <c r="E112" s="105" t="inlineStr">
        <is>
          <t xml:space="preserve">2개 업무</t>
        </is>
      </c>
      <c r="F112" s="105" t="inlineStr">
        <is>
          <t xml:space="preserve"/>
        </is>
      </c>
      <c r="G112" s="105"/>
      <c r="H112" s="105"/>
      <c r="I112" s="105"/>
      <c r="J112" s="105"/>
      <c r="K112" s="105"/>
      <c r="L112" s="105"/>
      <c r="M112" s="172">
        <v>45.8061</v>
      </c>
      <c r="N112" s="172">
        <v>549.6726</v>
      </c>
      <c r="O112" s="175">
        <v>0.0261</v>
      </c>
      <c r="P112" s="106">
        <v>32484.9872</v>
      </c>
      <c r="Q112" s="106">
        <v>1198505</v>
      </c>
      <c r="R112" s="106">
        <v>147265</v>
      </c>
      <c r="S112" s="106">
        <v>45170</v>
      </c>
      <c r="T112" s="106">
        <v>69549</v>
      </c>
      <c r="U112" s="106">
        <v>27520</v>
      </c>
      <c r="V112" s="106">
        <f>SUM(Q112:U112)</f>
        <v>1488009</v>
      </c>
      <c r="W112" s="106">
        <f>V112*12</f>
        <v>17856108</v>
      </c>
      <c r="X112" s="105"/>
      <c r="Z112">
        <v>0</v>
      </c>
    </row>
    <row r="113">
      <c r="A113" s="98" t="inlineStr">
        <is>
          <t xml:space="preserve">E4-1</t>
        </is>
      </c>
      <c r="B113" s="98" t="inlineStr">
        <is>
          <t xml:space="preserve">고객사 업무 지원</t>
        </is>
      </c>
      <c r="C113" s="98" t="inlineStr">
        <is>
          <t xml:space="preserve">업종별 특수 지원</t>
        </is>
      </c>
      <c r="D113" s="98" t="inlineStr">
        <is>
          <t xml:space="preserve">출퇴근 통근버스 통제</t>
        </is>
      </c>
      <c r="E113" s="98" t="inlineStr">
        <is>
          <t xml:space="preserve">작업</t>
        </is>
      </c>
      <c r="F113" s="98" t="inlineStr">
        <is>
          <t xml:space="preserve">공통</t>
        </is>
      </c>
      <c r="G113" s="171">
        <v>30</v>
      </c>
      <c r="H113" s="99">
        <v>2</v>
      </c>
      <c r="I113" s="98" t="inlineStr">
        <is>
          <t xml:space="preserve">회</t>
        </is>
      </c>
      <c r="J113" s="171">
        <v>5</v>
      </c>
      <c r="K113" s="98" t="inlineStr">
        <is>
          <t xml:space="preserve">매주</t>
        </is>
      </c>
      <c r="L113" s="171">
        <v>43.4524</v>
      </c>
      <c r="M113" s="171">
        <v>24.9851</v>
      </c>
      <c r="N113" s="171">
        <v>299.8214</v>
      </c>
      <c r="O113" s="174">
        <v>0.0143</v>
      </c>
      <c r="P113" s="99">
        <v>32484.9763</v>
      </c>
      <c r="Q113" s="99">
        <v>653730</v>
      </c>
      <c r="R113" s="99">
        <v>80326</v>
      </c>
      <c r="S113" s="99">
        <v>24638</v>
      </c>
      <c r="T113" s="99">
        <v>37936</v>
      </c>
      <c r="U113" s="99">
        <v>15011</v>
      </c>
      <c r="V113" s="99">
        <f>SUM(Q113:U113)</f>
        <v>811641</v>
      </c>
      <c r="W113" s="99">
        <f>V113*12</f>
        <v>9739692</v>
      </c>
      <c r="X113" s="99">
        <v>18678.8614</v>
      </c>
      <c r="Z113">
        <v>1</v>
      </c>
    </row>
    <row r="114">
      <c r="A114" s="98" t="inlineStr">
        <is>
          <t xml:space="preserve">E4-2</t>
        </is>
      </c>
      <c r="B114" s="98" t="inlineStr">
        <is>
          <t xml:space="preserve">고객사 업무 지원</t>
        </is>
      </c>
      <c r="C114" s="98" t="inlineStr">
        <is>
          <t xml:space="preserve">업종별 특수 지원</t>
        </is>
      </c>
      <c r="D114" s="98" t="inlineStr">
        <is>
          <t xml:space="preserve">협력업체 작업허가서 확인</t>
        </is>
      </c>
      <c r="E114" s="98" t="inlineStr">
        <is>
          <t xml:space="preserve">작업</t>
        </is>
      </c>
      <c r="F114" s="98" t="inlineStr">
        <is>
          <t xml:space="preserve">공통</t>
        </is>
      </c>
      <c r="G114" s="171">
        <v>5</v>
      </c>
      <c r="H114" s="99">
        <v>10</v>
      </c>
      <c r="I114" s="98" t="inlineStr">
        <is>
          <t xml:space="preserve">건</t>
        </is>
      </c>
      <c r="J114" s="171">
        <v>5</v>
      </c>
      <c r="K114" s="98" t="inlineStr">
        <is>
          <t xml:space="preserve">매주</t>
        </is>
      </c>
      <c r="L114" s="171">
        <v>217.2619</v>
      </c>
      <c r="M114" s="171">
        <v>20.8209</v>
      </c>
      <c r="N114" s="171">
        <v>249.8512</v>
      </c>
      <c r="O114" s="174">
        <v>0.0119</v>
      </c>
      <c r="P114" s="99">
        <v>32485.0003</v>
      </c>
      <c r="Q114" s="99">
        <v>544775</v>
      </c>
      <c r="R114" s="99">
        <v>66939</v>
      </c>
      <c r="S114" s="99">
        <v>20532</v>
      </c>
      <c r="T114" s="99">
        <v>31613</v>
      </c>
      <c r="U114" s="99">
        <v>12509</v>
      </c>
      <c r="V114" s="99">
        <f>SUM(Q114:U114)</f>
        <v>676368</v>
      </c>
      <c r="W114" s="99">
        <f>V114*12</f>
        <v>8116416</v>
      </c>
      <c r="X114" s="99">
        <v>3113.1459</v>
      </c>
      <c r="Z114">
        <v>1</v>
      </c>
    </row>
    <row r="115">
      <c r="A115" s="105" t="inlineStr">
        <is>
          <t xml:space="preserve">F</t>
        </is>
      </c>
      <c r="B115" s="105" t="inlineStr">
        <is>
          <t xml:space="preserve">보고·행정·교육</t>
        </is>
      </c>
      <c r="C115" s="105" t="inlineStr">
        <is>
          <t xml:space="preserve"/>
        </is>
      </c>
      <c r="D115" s="105" t="inlineStr">
        <is>
          <t xml:space="preserve"/>
        </is>
      </c>
      <c r="E115" s="105" t="inlineStr">
        <is>
          <t xml:space="preserve">4개 업무</t>
        </is>
      </c>
      <c r="F115" s="105" t="inlineStr">
        <is>
          <t xml:space="preserve"/>
        </is>
      </c>
      <c r="G115" s="105"/>
      <c r="H115" s="105"/>
      <c r="I115" s="105"/>
      <c r="J115" s="105"/>
      <c r="K115" s="105"/>
      <c r="L115" s="105"/>
      <c r="M115" s="172">
        <v>69.0767</v>
      </c>
      <c r="N115" s="172">
        <v>828.92</v>
      </c>
      <c r="O115" s="175">
        <v>0.0394</v>
      </c>
      <c r="P115" s="106">
        <v>32484.978</v>
      </c>
      <c r="Q115" s="106">
        <v>1807374</v>
      </c>
      <c r="R115" s="106">
        <v>222080</v>
      </c>
      <c r="S115" s="106">
        <v>68118</v>
      </c>
      <c r="T115" s="106">
        <v>104881</v>
      </c>
      <c r="U115" s="106">
        <v>41501</v>
      </c>
      <c r="V115" s="106">
        <f>SUM(Q115:U115)</f>
        <v>2243954</v>
      </c>
      <c r="W115" s="106">
        <f>V115*12</f>
        <v>26927448</v>
      </c>
      <c r="X115" s="105"/>
      <c r="Z115">
        <v>0</v>
      </c>
    </row>
    <row r="116">
      <c r="A116" s="98" t="inlineStr">
        <is>
          <t xml:space="preserve">F1</t>
        </is>
      </c>
      <c r="B116" s="98" t="inlineStr">
        <is>
          <t xml:space="preserve">보고·행정·교육</t>
        </is>
      </c>
      <c r="C116" s="98" t="inlineStr">
        <is>
          <t xml:space="preserve"/>
        </is>
      </c>
      <c r="D116" s="98" t="inlineStr">
        <is>
          <t xml:space="preserve">근무일지·인수인계</t>
        </is>
      </c>
      <c r="E116" s="98" t="inlineStr">
        <is>
          <t xml:space="preserve">작업</t>
        </is>
      </c>
      <c r="F116" s="98" t="inlineStr">
        <is>
          <t xml:space="preserve">공통</t>
        </is>
      </c>
      <c r="G116" s="171">
        <v>15</v>
      </c>
      <c r="H116" s="99">
        <v>2</v>
      </c>
      <c r="I116" s="98" t="inlineStr">
        <is>
          <t xml:space="preserve">개소</t>
        </is>
      </c>
      <c r="J116" s="171">
        <v>3</v>
      </c>
      <c r="K116" s="98" t="inlineStr">
        <is>
          <t xml:space="preserve">매일</t>
        </is>
      </c>
      <c r="L116" s="171">
        <v>182.4</v>
      </c>
      <c r="M116" s="171">
        <v>52.44</v>
      </c>
      <c r="N116" s="171">
        <v>629.28</v>
      </c>
      <c r="O116" s="174">
        <v>0.0299</v>
      </c>
      <c r="P116" s="99">
        <v>32484.9733</v>
      </c>
      <c r="Q116" s="99">
        <v>1372080</v>
      </c>
      <c r="R116" s="99">
        <v>168593</v>
      </c>
      <c r="S116" s="99">
        <v>51712</v>
      </c>
      <c r="T116" s="99">
        <v>79621</v>
      </c>
      <c r="U116" s="99">
        <v>31506</v>
      </c>
      <c r="V116" s="99">
        <f>SUM(Q116:U116)</f>
        <v>1703512</v>
      </c>
      <c r="W116" s="99">
        <f>V116*12</f>
        <v>20442144</v>
      </c>
      <c r="X116" s="99">
        <v>9339.4298</v>
      </c>
      <c r="Z116">
        <v>1</v>
      </c>
    </row>
    <row r="117">
      <c r="A117" s="98" t="inlineStr">
        <is>
          <t xml:space="preserve">F2</t>
        </is>
      </c>
      <c r="B117" s="98" t="inlineStr">
        <is>
          <t xml:space="preserve">보고·행정·교육</t>
        </is>
      </c>
      <c r="C117" s="98" t="inlineStr">
        <is>
          <t xml:space="preserve"/>
        </is>
      </c>
      <c r="D117" s="98" t="inlineStr">
        <is>
          <t xml:space="preserve">사건·사고 보고서 작성</t>
        </is>
      </c>
      <c r="E117" s="98" t="inlineStr">
        <is>
          <t xml:space="preserve">작업</t>
        </is>
      </c>
      <c r="F117" s="98" t="inlineStr">
        <is>
          <t xml:space="preserve">공통</t>
        </is>
      </c>
      <c r="G117" s="171">
        <v>30</v>
      </c>
      <c r="H117" s="99">
        <v>1</v>
      </c>
      <c r="I117" s="98" t="inlineStr">
        <is>
          <t xml:space="preserve">건</t>
        </is>
      </c>
      <c r="J117" s="171">
        <v>6</v>
      </c>
      <c r="K117" s="98" t="inlineStr">
        <is>
          <t xml:space="preserve">매월</t>
        </is>
      </c>
      <c r="L117" s="171">
        <v>6</v>
      </c>
      <c r="M117" s="171">
        <v>3.45</v>
      </c>
      <c r="N117" s="171">
        <v>41.4</v>
      </c>
      <c r="O117" s="174">
        <v>0.002</v>
      </c>
      <c r="P117" s="99">
        <v>32484.9275</v>
      </c>
      <c r="Q117" s="99">
        <v>90268</v>
      </c>
      <c r="R117" s="99">
        <v>11092</v>
      </c>
      <c r="S117" s="99">
        <v>3402</v>
      </c>
      <c r="T117" s="99">
        <v>5238</v>
      </c>
      <c r="U117" s="99">
        <v>2073</v>
      </c>
      <c r="V117" s="99">
        <f>SUM(Q117:U117)</f>
        <v>112073</v>
      </c>
      <c r="W117" s="99">
        <f>V117*12</f>
        <v>1344876</v>
      </c>
      <c r="X117" s="99">
        <v>18678.8333</v>
      </c>
      <c r="Z117">
        <v>1</v>
      </c>
    </row>
    <row r="118">
      <c r="A118" s="98" t="inlineStr">
        <is>
          <t xml:space="preserve">F3</t>
        </is>
      </c>
      <c r="B118" s="98" t="inlineStr">
        <is>
          <t xml:space="preserve">보고·행정·교육</t>
        </is>
      </c>
      <c r="C118" s="98" t="inlineStr">
        <is>
          <t xml:space="preserve"/>
        </is>
      </c>
      <c r="D118" s="98" t="inlineStr">
        <is>
          <t xml:space="preserve">고객사 일일 업무보고</t>
        </is>
      </c>
      <c r="E118" s="98" t="inlineStr">
        <is>
          <t xml:space="preserve">작업</t>
        </is>
      </c>
      <c r="F118" s="98" t="inlineStr">
        <is>
          <t xml:space="preserve">공통</t>
        </is>
      </c>
      <c r="G118" s="171">
        <v>20</v>
      </c>
      <c r="H118" s="99">
        <v>1</v>
      </c>
      <c r="I118" s="98" t="inlineStr">
        <is>
          <t xml:space="preserve">회</t>
        </is>
      </c>
      <c r="J118" s="171">
        <v>1</v>
      </c>
      <c r="K118" s="98" t="inlineStr">
        <is>
          <t xml:space="preserve">매일</t>
        </is>
      </c>
      <c r="L118" s="171">
        <v>30.4</v>
      </c>
      <c r="M118" s="171">
        <v>11.6533</v>
      </c>
      <c r="N118" s="171">
        <v>139.84</v>
      </c>
      <c r="O118" s="174">
        <v>0.0066</v>
      </c>
      <c r="P118" s="99">
        <v>32485.04</v>
      </c>
      <c r="Q118" s="99">
        <v>304907</v>
      </c>
      <c r="R118" s="99">
        <v>37465</v>
      </c>
      <c r="S118" s="99">
        <v>11492</v>
      </c>
      <c r="T118" s="99">
        <v>17694</v>
      </c>
      <c r="U118" s="99">
        <v>7001</v>
      </c>
      <c r="V118" s="99">
        <f>SUM(Q118:U118)</f>
        <v>378559</v>
      </c>
      <c r="W118" s="99">
        <f>V118*12</f>
        <v>4542708</v>
      </c>
      <c r="X118" s="99">
        <v>12452.5987</v>
      </c>
      <c r="Z118">
        <v>1</v>
      </c>
    </row>
    <row r="119">
      <c r="A119" s="98" t="inlineStr">
        <is>
          <t xml:space="preserve">F4</t>
        </is>
      </c>
      <c r="B119" s="98" t="inlineStr">
        <is>
          <t xml:space="preserve">보고·행정·교육</t>
        </is>
      </c>
      <c r="C119" s="98" t="inlineStr">
        <is>
          <t xml:space="preserve"/>
        </is>
      </c>
      <c r="D119" s="98" t="inlineStr">
        <is>
          <t xml:space="preserve">경비원 직무교육·소방훈련 참여</t>
        </is>
      </c>
      <c r="E119" s="98" t="inlineStr">
        <is>
          <t xml:space="preserve">작업</t>
        </is>
      </c>
      <c r="F119" s="98" t="inlineStr">
        <is>
          <t xml:space="preserve">공통</t>
        </is>
      </c>
      <c r="G119" s="171">
        <v>240</v>
      </c>
      <c r="H119" s="99">
        <v>1</v>
      </c>
      <c r="I119" s="98" t="inlineStr">
        <is>
          <t xml:space="preserve">회</t>
        </is>
      </c>
      <c r="J119" s="171">
        <v>1</v>
      </c>
      <c r="K119" s="98" t="inlineStr">
        <is>
          <t xml:space="preserve">분기</t>
        </is>
      </c>
      <c r="L119" s="171">
        <v>0.3333</v>
      </c>
      <c r="M119" s="171">
        <v>1.5333</v>
      </c>
      <c r="N119" s="171">
        <v>18.4</v>
      </c>
      <c r="O119" s="174">
        <v>0.0009</v>
      </c>
      <c r="P119" s="99">
        <v>32484.7826</v>
      </c>
      <c r="Q119" s="99">
        <v>40119</v>
      </c>
      <c r="R119" s="99">
        <v>4930</v>
      </c>
      <c r="S119" s="99">
        <v>1512</v>
      </c>
      <c r="T119" s="99">
        <v>2328</v>
      </c>
      <c r="U119" s="99">
        <v>921</v>
      </c>
      <c r="V119" s="99">
        <f>SUM(Q119:U119)</f>
        <v>49810</v>
      </c>
      <c r="W119" s="99">
        <f>V119*12</f>
        <v>597720</v>
      </c>
      <c r="X119" s="99">
        <v>149430</v>
      </c>
      <c r="Z119">
        <v>1</v>
      </c>
    </row>
    <row r="120" ht="20" customHeight="1">
      <c r="A120" s="148" t="inlineStr">
        <is>
          <t xml:space="preserve">합계</t>
        </is>
      </c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73">
        <f>SUMIF($Z$23:$Z$119,1,M23:M119)</f>
        <v>1752.4397</v>
      </c>
      <c r="N120" s="173">
        <f>SUMIF($Z$23:$Z$119,1,N23:N119)</f>
        <v>21029.2768</v>
      </c>
      <c r="O120" s="176">
        <v>1</v>
      </c>
      <c r="P120" s="149">
        <v>32484.9974</v>
      </c>
      <c r="Q120" s="149">
        <f>SUMIF($Z$23:$Z$119,1,Q23:Q119)</f>
        <v>45852180</v>
      </c>
      <c r="R120" s="149">
        <f>SUMIF($Z$23:$Z$119,1,R23:R119)</f>
        <v>5634050</v>
      </c>
      <c r="S120" s="149">
        <f>SUMIF($Z$23:$Z$119,1,S23:S119)</f>
        <v>1728110</v>
      </c>
      <c r="T120" s="149">
        <f>SUMIF($Z$23:$Z$119,1,T23:T119)</f>
        <v>2660790</v>
      </c>
      <c r="U120" s="149">
        <f>SUMIF($Z$23:$Z$119,1,U23:U119)</f>
        <v>1052870</v>
      </c>
      <c r="V120" s="149">
        <f>SUMIF($Z$23:$Z$119,1,V23:V119)</f>
        <v>56928000</v>
      </c>
      <c r="W120" s="149">
        <f>SUMIF($Z$23:$Z$119,1,W23:W119)</f>
        <v>683136000</v>
      </c>
      <c r="X120" s="148"/>
    </row>
    <row r="121">
      <c r="A121" s="98" t="inlineStr">
        <is>
          <t xml:space="preserve">검증: 견적서 월 합계 · 연 총액</t>
        </is>
      </c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9">
        <f>'견적서'!I31</f>
        <v>56928000</v>
      </c>
      <c r="W121" s="99">
        <f>'견적서'!I34</f>
        <v>683136000</v>
      </c>
      <c r="X121" s="98"/>
    </row>
    <row r="122">
      <c r="A122" s="98" t="inlineStr">
        <is>
          <t xml:space="preserve">차이 (0이면 일치)</t>
        </is>
      </c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9">
        <f>V120-V121</f>
        <v>0</v>
      </c>
      <c r="W122" s="99">
        <f>W120-W121</f>
        <v>0</v>
      </c>
      <c r="X122" s="98"/>
    </row>
    <row r="124">
      <c r="A124" s="100" t="inlineStr">
        <is>
          <t xml:space="preserve">배분 방법: 견적 금액 구성(직접노무비·간접노무비·경비·일반관리비·이윤)을 항목별로 업무시간 비중에 따라 원 단위로 나누고, 업무별 월 배분액 = 다섯 항목의 합입니다.</t>
        </is>
      </c>
    </row>
    <row r="125">
      <c r="A125" s="100" t="inlineStr">
        <is>
          <t xml:space="preserve">모든 합계는 견적서 월 합계(I31)·계약기간 총액(I34)과 원 단위까지 같으며, 아래 검증 행의 차이가 0이면 일치합니다.</t>
        </is>
      </c>
    </row>
    <row r="126">
      <c r="A126" s="100" t="inlineStr">
        <is>
          <t xml:space="preserve">원 견적서 인원·금액 그대로이며, 체크한 업무에 견적 금액을 배분했습니다.</t>
        </is>
      </c>
    </row>
    <row r="127">
      <c r="A127" s="100" t="inlineStr">
        <is>
          <t xml:space="preserve">Produced by RatRae Choi – October 21, 2026 · Workload-Based Cost and Labor Estimation Method v1.6</t>
        </is>
      </c>
    </row>
  </sheetData>
  <mergeCells count="25">
    <mergeCell ref="A1:T2"/>
    <mergeCell ref="A3:T3"/>
    <mergeCell ref="A6:C6"/>
    <mergeCell ref="N6:P6"/>
    <mergeCell ref="A7:C7"/>
    <mergeCell ref="N7:P7"/>
    <mergeCell ref="A8:C8"/>
    <mergeCell ref="N8:P8"/>
    <mergeCell ref="A9:C9"/>
    <mergeCell ref="N9:P9"/>
    <mergeCell ref="A10:C10"/>
    <mergeCell ref="N10:P10"/>
    <mergeCell ref="A11:C11"/>
    <mergeCell ref="N11:P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5:D5"/>
    <mergeCell ref="N5:R5"/>
  </mergeCells>
  <pageMargins left="0.4" right="0.4" top="0.5" bottom="0.5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ySplit="6" topLeftCell="A7" activePane="bottomLeft" state="frozen"/>
    </sheetView>
  </sheetViews>
  <sheetFormatPr defaultRowHeight="15"/>
  <cols>
    <col min="1" max="1" width="2" customWidth="1"/>
    <col min="2" max="2" width="46" customWidth="1"/>
    <col min="3" max="3" width="11" customWidth="1"/>
    <col min="4" max="4" width="10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13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26" customWidth="1"/>
    <col min="20" max="20" hidden="1" width="3" customWidth="1"/>
  </cols>
  <sheetData>
    <row r="1" ht="24" customHeight="1">
      <c r="B1" s="166" t="inlineStr">
        <is>
          <t xml:space="preserve">현대자동차 울산공장 정문 보안용역 도급업무 업무량 산출내역 (Workload)</t>
        </is>
      </c>
      <c r="R1" s="18" t="inlineStr">
        <is>
          <t xml:space="preserve">No. 261021-2703</t>
        </is>
      </c>
    </row>
    <row r="2" ht="16" customHeight="1">
      <c r="B2" s="20" t="inlineStr">
        <is>
          <t xml:space="preserve">Location: 현대자동차 울산공장 정문 · 울산 북구 염포로 700</t>
        </is>
      </c>
      <c r="R2" s="19" t="inlineStr">
        <is>
          <t xml:space="preserve">작성일 2026. 10. 21</t>
        </is>
      </c>
    </row>
    <row r="3" ht="16" customHeight="1">
      <c r="B3" s="20" t="inlineStr">
        <is>
          <t xml:space="preserve">2027년 · 평일: 246일 / 주말: 104일 / 공휴일: 15일 · 주간 06~22시 · 야간 22~06시</t>
        </is>
      </c>
    </row>
    <row r="5" ht="20" customHeight="1">
      <c r="B5" s="167" t="inlineStr">
        <is>
          <t xml:space="preserve">도급 업무 (분류별 세부업무)</t>
        </is>
      </c>
      <c r="C5" s="167" t="inlineStr">
        <is>
          <t xml:space="preserve">시간당 단가</t>
        </is>
      </c>
      <c r="D5" s="167" t="inlineStr">
        <is>
          <t xml:space="preserve">Work scope (시간)</t>
        </is>
      </c>
      <c r="E5" s="167" t="inlineStr">
        <is>
          <t xml:space="preserve"/>
        </is>
      </c>
      <c r="F5" s="167" t="inlineStr">
        <is>
          <t xml:space="preserve"/>
        </is>
      </c>
      <c r="G5" s="167" t="inlineStr">
        <is>
          <t xml:space="preserve"/>
        </is>
      </c>
      <c r="H5" s="167" t="inlineStr">
        <is>
          <t xml:space="preserve"/>
        </is>
      </c>
      <c r="I5" s="167" t="inlineStr">
        <is>
          <t xml:space="preserve"/>
        </is>
      </c>
      <c r="J5" s="167" t="inlineStr">
        <is>
          <t xml:space="preserve"/>
        </is>
      </c>
      <c r="K5" s="167" t="inlineStr">
        <is>
          <t xml:space="preserve">Amount (노무비, 원)</t>
        </is>
      </c>
      <c r="L5" s="167" t="inlineStr">
        <is>
          <t xml:space="preserve"/>
        </is>
      </c>
      <c r="M5" s="167" t="inlineStr">
        <is>
          <t xml:space="preserve"/>
        </is>
      </c>
      <c r="N5" s="167" t="inlineStr">
        <is>
          <t xml:space="preserve"/>
        </is>
      </c>
      <c r="O5" s="167" t="inlineStr">
        <is>
          <t xml:space="preserve"/>
        </is>
      </c>
      <c r="P5" s="167" t="inlineStr">
        <is>
          <t xml:space="preserve"/>
        </is>
      </c>
      <c r="Q5" s="167" t="inlineStr">
        <is>
          <t xml:space="preserve"/>
        </is>
      </c>
      <c r="R5" s="167" t="inlineStr">
        <is>
          <t xml:space="preserve">비고</t>
        </is>
      </c>
    </row>
    <row r="6" ht="20" customHeight="1">
      <c r="B6" s="167" t="inlineStr">
        <is>
          <t xml:space="preserve"/>
        </is>
      </c>
      <c r="C6" s="167" t="inlineStr">
        <is>
          <t xml:space="preserve"/>
        </is>
      </c>
      <c r="D6" s="167" t="inlineStr">
        <is>
          <t xml:space="preserve">TOTAL</t>
        </is>
      </c>
      <c r="E6" s="167" t="inlineStr">
        <is>
          <t xml:space="preserve">주중 주간</t>
        </is>
      </c>
      <c r="F6" s="167" t="inlineStr">
        <is>
          <t xml:space="preserve">주중 야간</t>
        </is>
      </c>
      <c r="G6" s="167" t="inlineStr">
        <is>
          <t xml:space="preserve">주말 주간</t>
        </is>
      </c>
      <c r="H6" s="167" t="inlineStr">
        <is>
          <t xml:space="preserve">주말 야간</t>
        </is>
      </c>
      <c r="I6" s="167" t="inlineStr">
        <is>
          <t xml:space="preserve">공휴일 주간</t>
        </is>
      </c>
      <c r="J6" s="167" t="inlineStr">
        <is>
          <t xml:space="preserve">공휴일 야간</t>
        </is>
      </c>
      <c r="K6" s="167" t="inlineStr">
        <is>
          <t xml:space="preserve">TOTAL</t>
        </is>
      </c>
      <c r="L6" s="167" t="inlineStr">
        <is>
          <t xml:space="preserve">주중 주간</t>
        </is>
      </c>
      <c r="M6" s="167" t="inlineStr">
        <is>
          <t xml:space="preserve">주중 야간</t>
        </is>
      </c>
      <c r="N6" s="167" t="inlineStr">
        <is>
          <t xml:space="preserve">주말 주간</t>
        </is>
      </c>
      <c r="O6" s="167" t="inlineStr">
        <is>
          <t xml:space="preserve">주말 야간</t>
        </is>
      </c>
      <c r="P6" s="167" t="inlineStr">
        <is>
          <t xml:space="preserve">공휴일 주간</t>
        </is>
      </c>
      <c r="Q6" s="167" t="inlineStr">
        <is>
          <t xml:space="preserve">공휴일 야간</t>
        </is>
      </c>
      <c r="R6" s="167" t="inlineStr">
        <is>
          <t xml:space="preserve"/>
        </is>
      </c>
    </row>
    <row r="7" ht="17" customHeight="1">
      <c r="B7" s="105" t="inlineStr">
        <is>
          <t xml:space="preserve">A  출입통제</t>
        </is>
      </c>
      <c r="C7" s="106">
        <v>29379.7431</v>
      </c>
      <c r="D7" s="172">
        <f>SUM(E7:J7)</f>
        <v>12108.5417</v>
      </c>
      <c r="E7" s="172">
        <v>7806.2826</v>
      </c>
      <c r="F7" s="172">
        <v>1247.4927</v>
      </c>
      <c r="G7" s="172">
        <v>2142.3164</v>
      </c>
      <c r="H7" s="172">
        <v>527.3953</v>
      </c>
      <c r="I7" s="172">
        <v>308.9879</v>
      </c>
      <c r="J7" s="172">
        <v>76.0666</v>
      </c>
      <c r="K7" s="106">
        <f>SUM(L7:Q7)</f>
        <v>355745844</v>
      </c>
      <c r="L7" s="106">
        <v>229346575</v>
      </c>
      <c r="M7" s="106">
        <v>36651018</v>
      </c>
      <c r="N7" s="106">
        <v>62940707</v>
      </c>
      <c r="O7" s="106">
        <v>15494740</v>
      </c>
      <c r="P7" s="106">
        <v>9077986</v>
      </c>
      <c r="Q7" s="106">
        <v>2234818</v>
      </c>
      <c r="R7" s="100" t="inlineStr">
        <is>
          <t xml:space="preserve"/>
        </is>
      </c>
      <c r="T7">
        <v>0</v>
      </c>
    </row>
    <row r="8" ht="17" customHeight="1">
      <c r="B8" s="105" t="inlineStr">
        <is>
          <t xml:space="preserve">A1  정문 초소</t>
        </is>
      </c>
      <c r="C8" s="106">
        <v>29379.7437</v>
      </c>
      <c r="D8" s="172">
        <f>SUM(E8:J8)</f>
        <v>8755.2</v>
      </c>
      <c r="E8" s="172">
        <v>4747.5205</v>
      </c>
      <c r="F8" s="172">
        <v>1153.2444</v>
      </c>
      <c r="G8" s="172">
        <v>2007.0818</v>
      </c>
      <c r="H8" s="172">
        <v>487.5505</v>
      </c>
      <c r="I8" s="172">
        <v>289.483</v>
      </c>
      <c r="J8" s="172">
        <v>70.3198</v>
      </c>
      <c r="K8" s="106">
        <f>SUM(L8:Q8)</f>
        <v>257225532</v>
      </c>
      <c r="L8" s="106">
        <v>139480935</v>
      </c>
      <c r="M8" s="106">
        <v>33882026</v>
      </c>
      <c r="N8" s="106">
        <v>58967551</v>
      </c>
      <c r="O8" s="106">
        <v>14324109</v>
      </c>
      <c r="P8" s="106">
        <v>8504934</v>
      </c>
      <c r="Q8" s="106">
        <v>2065977</v>
      </c>
      <c r="R8" s="100" t="inlineStr">
        <is>
          <t xml:space="preserve"/>
        </is>
      </c>
      <c r="T8">
        <v>0</v>
      </c>
    </row>
    <row r="9">
      <c r="B9" s="98" t="inlineStr">
        <is>
          <t xml:space="preserve">   A1-1  정문 상주 근무 (24시간 경계·대기)</t>
        </is>
      </c>
      <c r="C9" s="99">
        <v>29379.7447</v>
      </c>
      <c r="D9" s="171">
        <f>SUM(E9:J9)</f>
        <v>5133.344</v>
      </c>
      <c r="E9" s="171">
        <v>2306.4888</v>
      </c>
      <c r="F9" s="171">
        <v>1153.2444</v>
      </c>
      <c r="G9" s="171">
        <v>975.101</v>
      </c>
      <c r="H9" s="171">
        <v>487.5505</v>
      </c>
      <c r="I9" s="171">
        <v>140.6396</v>
      </c>
      <c r="J9" s="171">
        <v>70.3198</v>
      </c>
      <c r="K9" s="99">
        <f>SUM(L9:Q9)</f>
        <v>150816336</v>
      </c>
      <c r="L9" s="99">
        <v>67764052</v>
      </c>
      <c r="M9" s="99">
        <v>33882026</v>
      </c>
      <c r="N9" s="99">
        <v>28648217</v>
      </c>
      <c r="O9" s="99">
        <v>14324109</v>
      </c>
      <c r="P9" s="99">
        <v>4131955</v>
      </c>
      <c r="Q9" s="99">
        <v>2065977</v>
      </c>
      <c r="R9" s="100" t="inlineStr">
        <is>
          <t xml:space="preserve">상주 시간 중 다른 업무를 뺀 경계·대기</t>
        </is>
      </c>
      <c r="T9">
        <v>1</v>
      </c>
    </row>
    <row r="10">
      <c r="B10" s="98" t="inlineStr">
        <is>
          <t xml:space="preserve">   A1-2-a  입문 차량 확인·출입 기록</t>
        </is>
      </c>
      <c r="C10" s="99">
        <v>29379.7356</v>
      </c>
      <c r="D10" s="171">
        <f>SUM(E10:J10)</f>
        <v>377.568</v>
      </c>
      <c r="E10" s="171">
        <v>254.4705</v>
      </c>
      <c r="F10" s="171">
        <v>0</v>
      </c>
      <c r="G10" s="171">
        <v>107.581</v>
      </c>
      <c r="H10" s="171">
        <v>0</v>
      </c>
      <c r="I10" s="171">
        <v>15.5165</v>
      </c>
      <c r="J10" s="171">
        <v>0</v>
      </c>
      <c r="K10" s="99">
        <f>SUM(L10:Q10)</f>
        <v>11092848</v>
      </c>
      <c r="L10" s="99">
        <v>7476276</v>
      </c>
      <c r="M10" s="99">
        <v>0</v>
      </c>
      <c r="N10" s="99">
        <v>3160702</v>
      </c>
      <c r="O10" s="99">
        <v>0</v>
      </c>
      <c r="P10" s="99">
        <v>455870</v>
      </c>
      <c r="Q10" s="99">
        <v>0</v>
      </c>
      <c r="R10" s="100" t="inlineStr">
        <is>
          <t xml:space="preserve"/>
        </is>
      </c>
      <c r="T10">
        <v>1</v>
      </c>
    </row>
    <row r="11">
      <c r="B11" s="98" t="inlineStr">
        <is>
          <t xml:space="preserve">   A1-2-b  출문 차량 적재물 확인</t>
        </is>
      </c>
      <c r="C11" s="99">
        <v>29379.7356</v>
      </c>
      <c r="D11" s="171">
        <f>SUM(E11:J11)</f>
        <v>377.568</v>
      </c>
      <c r="E11" s="171">
        <v>254.4705</v>
      </c>
      <c r="F11" s="171">
        <v>0</v>
      </c>
      <c r="G11" s="171">
        <v>107.581</v>
      </c>
      <c r="H11" s="171">
        <v>0</v>
      </c>
      <c r="I11" s="171">
        <v>15.5165</v>
      </c>
      <c r="J11" s="171">
        <v>0</v>
      </c>
      <c r="K11" s="99">
        <f>SUM(L11:Q11)</f>
        <v>11092848</v>
      </c>
      <c r="L11" s="99">
        <v>7476276</v>
      </c>
      <c r="M11" s="99">
        <v>0</v>
      </c>
      <c r="N11" s="99">
        <v>3160702</v>
      </c>
      <c r="O11" s="99">
        <v>0</v>
      </c>
      <c r="P11" s="99">
        <v>455870</v>
      </c>
      <c r="Q11" s="99">
        <v>0</v>
      </c>
      <c r="R11" s="100" t="inlineStr">
        <is>
          <t xml:space="preserve"/>
        </is>
      </c>
      <c r="T11">
        <v>1</v>
      </c>
    </row>
    <row r="12">
      <c r="B12" s="98" t="inlineStr">
        <is>
          <t xml:space="preserve">   A1-2-c  협력업체·납품차량 출입 통제</t>
        </is>
      </c>
      <c r="C12" s="99">
        <v>29379.7356</v>
      </c>
      <c r="D12" s="171">
        <f>SUM(E12:J12)</f>
        <v>377.568</v>
      </c>
      <c r="E12" s="171">
        <v>254.4705</v>
      </c>
      <c r="F12" s="171">
        <v>0</v>
      </c>
      <c r="G12" s="171">
        <v>107.581</v>
      </c>
      <c r="H12" s="171">
        <v>0</v>
      </c>
      <c r="I12" s="171">
        <v>15.5165</v>
      </c>
      <c r="J12" s="171">
        <v>0</v>
      </c>
      <c r="K12" s="99">
        <f>SUM(L12:Q12)</f>
        <v>11092848</v>
      </c>
      <c r="L12" s="99">
        <v>7476276</v>
      </c>
      <c r="M12" s="99">
        <v>0</v>
      </c>
      <c r="N12" s="99">
        <v>3160702</v>
      </c>
      <c r="O12" s="99">
        <v>0</v>
      </c>
      <c r="P12" s="99">
        <v>455870</v>
      </c>
      <c r="Q12" s="99">
        <v>0</v>
      </c>
      <c r="R12" s="100" t="inlineStr">
        <is>
          <t xml:space="preserve"/>
        </is>
      </c>
      <c r="T12">
        <v>1</v>
      </c>
    </row>
    <row r="13">
      <c r="B13" s="98" t="inlineStr">
        <is>
          <t xml:space="preserve">   A1-2-d  긴급·관공서 차량 우선 통행 안내</t>
        </is>
      </c>
      <c r="C13" s="99">
        <v>29379.8627</v>
      </c>
      <c r="D13" s="171">
        <f>SUM(E13:J13)</f>
        <v>41.952</v>
      </c>
      <c r="E13" s="171">
        <v>28.2745</v>
      </c>
      <c r="F13" s="171">
        <v>0</v>
      </c>
      <c r="G13" s="171">
        <v>11.9534</v>
      </c>
      <c r="H13" s="171">
        <v>0</v>
      </c>
      <c r="I13" s="171">
        <v>1.7241</v>
      </c>
      <c r="J13" s="171">
        <v>0</v>
      </c>
      <c r="K13" s="99">
        <f>SUM(L13:Q13)</f>
        <v>1232544</v>
      </c>
      <c r="L13" s="99">
        <v>830701</v>
      </c>
      <c r="M13" s="99">
        <v>0</v>
      </c>
      <c r="N13" s="99">
        <v>351191</v>
      </c>
      <c r="O13" s="99">
        <v>0</v>
      </c>
      <c r="P13" s="99">
        <v>50652</v>
      </c>
      <c r="Q13" s="99">
        <v>0</v>
      </c>
      <c r="R13" s="100" t="inlineStr">
        <is>
          <t xml:space="preserve"/>
        </is>
      </c>
      <c r="T13">
        <v>1</v>
      </c>
    </row>
    <row r="14">
      <c r="B14" s="98" t="inlineStr">
        <is>
          <t xml:space="preserve">   A1-3-a  방문객 신원확인·출입증 발급</t>
        </is>
      </c>
      <c r="C14" s="99">
        <v>29379.7483</v>
      </c>
      <c r="D14" s="171">
        <f>SUM(E14:J14)</f>
        <v>839.04</v>
      </c>
      <c r="E14" s="171">
        <v>565.49</v>
      </c>
      <c r="F14" s="171">
        <v>0</v>
      </c>
      <c r="G14" s="171">
        <v>239.0689</v>
      </c>
      <c r="H14" s="171">
        <v>0</v>
      </c>
      <c r="I14" s="171">
        <v>34.4811</v>
      </c>
      <c r="J14" s="171">
        <v>0</v>
      </c>
      <c r="K14" s="99">
        <f>SUM(L14:Q14)</f>
        <v>24650784</v>
      </c>
      <c r="L14" s="99">
        <v>16613953</v>
      </c>
      <c r="M14" s="99">
        <v>0</v>
      </c>
      <c r="N14" s="99">
        <v>7023785</v>
      </c>
      <c r="O14" s="99">
        <v>0</v>
      </c>
      <c r="P14" s="99">
        <v>1013046</v>
      </c>
      <c r="Q14" s="99">
        <v>0</v>
      </c>
      <c r="R14" s="100" t="inlineStr">
        <is>
          <t xml:space="preserve"/>
        </is>
      </c>
      <c r="T14">
        <v>1</v>
      </c>
    </row>
    <row r="15">
      <c r="B15" s="98" t="inlineStr">
        <is>
          <t xml:space="preserve">   A1-3-b  출입증 회수·방문 대장 정리</t>
        </is>
      </c>
      <c r="C15" s="99">
        <v>29379.7483</v>
      </c>
      <c r="D15" s="171">
        <f>SUM(E15:J15)</f>
        <v>209.76</v>
      </c>
      <c r="E15" s="171">
        <v>141.3725</v>
      </c>
      <c r="F15" s="171">
        <v>0</v>
      </c>
      <c r="G15" s="171">
        <v>59.7672</v>
      </c>
      <c r="H15" s="171">
        <v>0</v>
      </c>
      <c r="I15" s="171">
        <v>8.6203</v>
      </c>
      <c r="J15" s="171">
        <v>0</v>
      </c>
      <c r="K15" s="99">
        <f>SUM(L15:Q15)</f>
        <v>6162696</v>
      </c>
      <c r="L15" s="99">
        <v>4153488</v>
      </c>
      <c r="M15" s="99">
        <v>0</v>
      </c>
      <c r="N15" s="99">
        <v>1755946</v>
      </c>
      <c r="O15" s="99">
        <v>0</v>
      </c>
      <c r="P15" s="99">
        <v>253262</v>
      </c>
      <c r="Q15" s="99">
        <v>0</v>
      </c>
      <c r="R15" s="100" t="inlineStr">
        <is>
          <t xml:space="preserve"/>
        </is>
      </c>
      <c r="T15">
        <v>1</v>
      </c>
    </row>
    <row r="16">
      <c r="B16" s="98" t="inlineStr">
        <is>
          <t xml:space="preserve">   A1-3-c  사전 방문예약 확인·접견자 연락</t>
        </is>
      </c>
      <c r="C16" s="99">
        <v>29379.7197</v>
      </c>
      <c r="D16" s="171">
        <f>SUM(E16:J16)</f>
        <v>167.808</v>
      </c>
      <c r="E16" s="171">
        <v>113.098</v>
      </c>
      <c r="F16" s="171">
        <v>0</v>
      </c>
      <c r="G16" s="171">
        <v>47.8138</v>
      </c>
      <c r="H16" s="171">
        <v>0</v>
      </c>
      <c r="I16" s="171">
        <v>6.8962</v>
      </c>
      <c r="J16" s="171">
        <v>0</v>
      </c>
      <c r="K16" s="99">
        <f>SUM(L16:Q16)</f>
        <v>4930152</v>
      </c>
      <c r="L16" s="99">
        <v>3322787</v>
      </c>
      <c r="M16" s="99">
        <v>0</v>
      </c>
      <c r="N16" s="99">
        <v>1404756</v>
      </c>
      <c r="O16" s="99">
        <v>0</v>
      </c>
      <c r="P16" s="99">
        <v>202609</v>
      </c>
      <c r="Q16" s="99">
        <v>0</v>
      </c>
      <c r="R16" s="100" t="inlineStr">
        <is>
          <t xml:space="preserve"/>
        </is>
      </c>
      <c r="T16">
        <v>1</v>
      </c>
    </row>
    <row r="17">
      <c r="B17" s="98" t="inlineStr">
        <is>
          <t xml:space="preserve">   A1-4-a  반출입증 확인·물품 대조</t>
        </is>
      </c>
      <c r="C17" s="99">
        <v>29379.7401</v>
      </c>
      <c r="D17" s="171">
        <f>SUM(E17:J17)</f>
        <v>293.664</v>
      </c>
      <c r="E17" s="171">
        <v>197.9215</v>
      </c>
      <c r="F17" s="171">
        <v>0</v>
      </c>
      <c r="G17" s="171">
        <v>83.6741</v>
      </c>
      <c r="H17" s="171">
        <v>0</v>
      </c>
      <c r="I17" s="171">
        <v>12.0684</v>
      </c>
      <c r="J17" s="171">
        <v>0</v>
      </c>
      <c r="K17" s="99">
        <f>SUM(L17:Q17)</f>
        <v>8627772</v>
      </c>
      <c r="L17" s="99">
        <v>5814882</v>
      </c>
      <c r="M17" s="99">
        <v>0</v>
      </c>
      <c r="N17" s="99">
        <v>2458324</v>
      </c>
      <c r="O17" s="99">
        <v>0</v>
      </c>
      <c r="P17" s="99">
        <v>354566</v>
      </c>
      <c r="Q17" s="99">
        <v>0</v>
      </c>
      <c r="R17" s="100" t="inlineStr">
        <is>
          <t xml:space="preserve"/>
        </is>
      </c>
      <c r="T17">
        <v>1</v>
      </c>
    </row>
    <row r="18">
      <c r="B18" s="98" t="inlineStr">
        <is>
          <t xml:space="preserve">   A1-4-b  반입 금지물품(화기·위험물) 검색</t>
        </is>
      </c>
      <c r="C18" s="99">
        <v>29379.7197</v>
      </c>
      <c r="D18" s="171">
        <f>SUM(E18:J18)</f>
        <v>419.52</v>
      </c>
      <c r="E18" s="171">
        <v>282.745</v>
      </c>
      <c r="F18" s="171">
        <v>0</v>
      </c>
      <c r="G18" s="171">
        <v>119.5345</v>
      </c>
      <c r="H18" s="171">
        <v>0</v>
      </c>
      <c r="I18" s="171">
        <v>17.2405</v>
      </c>
      <c r="J18" s="171">
        <v>0</v>
      </c>
      <c r="K18" s="99">
        <f>SUM(L18:Q18)</f>
        <v>12325380</v>
      </c>
      <c r="L18" s="99">
        <v>8306968</v>
      </c>
      <c r="M18" s="99">
        <v>0</v>
      </c>
      <c r="N18" s="99">
        <v>3511889</v>
      </c>
      <c r="O18" s="99">
        <v>0</v>
      </c>
      <c r="P18" s="99">
        <v>506523</v>
      </c>
      <c r="Q18" s="99">
        <v>0</v>
      </c>
      <c r="R18" s="100" t="inlineStr">
        <is>
          <t xml:space="preserve"/>
        </is>
      </c>
      <c r="T18">
        <v>1</v>
      </c>
    </row>
    <row r="19">
      <c r="B19" s="98" t="inlineStr">
        <is>
          <t xml:space="preserve">   A1-5-a  택배 수령·보관 등록</t>
        </is>
      </c>
      <c r="C19" s="99">
        <v>29379.7483</v>
      </c>
      <c r="D19" s="171">
        <f>SUM(E19:J19)</f>
        <v>279.68</v>
      </c>
      <c r="E19" s="171">
        <v>188.4967</v>
      </c>
      <c r="F19" s="171">
        <v>0</v>
      </c>
      <c r="G19" s="171">
        <v>79.6896</v>
      </c>
      <c r="H19" s="171">
        <v>0</v>
      </c>
      <c r="I19" s="171">
        <v>11.4937</v>
      </c>
      <c r="J19" s="171">
        <v>0</v>
      </c>
      <c r="K19" s="99">
        <f>SUM(L19:Q19)</f>
        <v>8216928</v>
      </c>
      <c r="L19" s="99">
        <v>5537984</v>
      </c>
      <c r="M19" s="99">
        <v>0</v>
      </c>
      <c r="N19" s="99">
        <v>2341262</v>
      </c>
      <c r="O19" s="99">
        <v>0</v>
      </c>
      <c r="P19" s="99">
        <v>337682</v>
      </c>
      <c r="Q19" s="99">
        <v>0</v>
      </c>
      <c r="R19" s="100" t="inlineStr">
        <is>
          <t xml:space="preserve"/>
        </is>
      </c>
      <c r="T19">
        <v>1</v>
      </c>
    </row>
    <row r="20">
      <c r="B20" s="98" t="inlineStr">
        <is>
          <t xml:space="preserve">   A1-5-b  수령자 연락·인계 확인</t>
        </is>
      </c>
      <c r="C20" s="99">
        <v>29379.7605</v>
      </c>
      <c r="D20" s="171">
        <f>SUM(E20:J20)</f>
        <v>195.776</v>
      </c>
      <c r="E20" s="171">
        <v>131.9477</v>
      </c>
      <c r="F20" s="171">
        <v>0</v>
      </c>
      <c r="G20" s="171">
        <v>55.7828</v>
      </c>
      <c r="H20" s="171">
        <v>0</v>
      </c>
      <c r="I20" s="171">
        <v>8.0456</v>
      </c>
      <c r="J20" s="171">
        <v>0</v>
      </c>
      <c r="K20" s="99">
        <f>SUM(L20:Q20)</f>
        <v>5751852</v>
      </c>
      <c r="L20" s="99">
        <v>3876591</v>
      </c>
      <c r="M20" s="99">
        <v>0</v>
      </c>
      <c r="N20" s="99">
        <v>1638884</v>
      </c>
      <c r="O20" s="99">
        <v>0</v>
      </c>
      <c r="P20" s="99">
        <v>236377</v>
      </c>
      <c r="Q20" s="99">
        <v>0</v>
      </c>
      <c r="R20" s="100" t="inlineStr">
        <is>
          <t xml:space="preserve"/>
        </is>
      </c>
      <c r="T20">
        <v>1</v>
      </c>
    </row>
    <row r="21">
      <c r="B21" s="98" t="inlineStr">
        <is>
          <t xml:space="preserve">   A1-5-c  등기·우편물 분류</t>
        </is>
      </c>
      <c r="C21" s="99">
        <v>29379.8627</v>
      </c>
      <c r="D21" s="171">
        <f>SUM(E21:J21)</f>
        <v>41.952</v>
      </c>
      <c r="E21" s="171">
        <v>28.2745</v>
      </c>
      <c r="F21" s="171">
        <v>0</v>
      </c>
      <c r="G21" s="171">
        <v>11.9534</v>
      </c>
      <c r="H21" s="171">
        <v>0</v>
      </c>
      <c r="I21" s="171">
        <v>1.7241</v>
      </c>
      <c r="J21" s="171">
        <v>0</v>
      </c>
      <c r="K21" s="99">
        <f>SUM(L21:Q21)</f>
        <v>1232544</v>
      </c>
      <c r="L21" s="99">
        <v>830701</v>
      </c>
      <c r="M21" s="99">
        <v>0</v>
      </c>
      <c r="N21" s="99">
        <v>351191</v>
      </c>
      <c r="O21" s="99">
        <v>0</v>
      </c>
      <c r="P21" s="99">
        <v>50652</v>
      </c>
      <c r="Q21" s="99">
        <v>0</v>
      </c>
      <c r="R21" s="100" t="inlineStr">
        <is>
          <t xml:space="preserve"/>
        </is>
      </c>
      <c r="T21">
        <v>1</v>
      </c>
    </row>
    <row r="22" ht="17" customHeight="1">
      <c r="B22" s="105" t="inlineStr">
        <is>
          <t xml:space="preserve">A2  후문·부출입구</t>
        </is>
      </c>
      <c r="C22" s="106">
        <v>29379.7403</v>
      </c>
      <c r="D22" s="172">
        <f>SUM(E22:J22)</f>
        <v>3128.5714</v>
      </c>
      <c r="E22" s="172">
        <v>2890.9814</v>
      </c>
      <c r="F22" s="172">
        <v>94.2483</v>
      </c>
      <c r="G22" s="172">
        <v>85.4286</v>
      </c>
      <c r="H22" s="172">
        <v>39.8448</v>
      </c>
      <c r="I22" s="172">
        <v>12.3214</v>
      </c>
      <c r="J22" s="172">
        <v>5.7468</v>
      </c>
      <c r="K22" s="106">
        <f>SUM(L22:Q22)</f>
        <v>91916616</v>
      </c>
      <c r="L22" s="106">
        <v>84936284</v>
      </c>
      <c r="M22" s="106">
        <v>2768992</v>
      </c>
      <c r="N22" s="106">
        <v>2509868</v>
      </c>
      <c r="O22" s="106">
        <v>1170631</v>
      </c>
      <c r="P22" s="106">
        <v>362000</v>
      </c>
      <c r="Q22" s="106">
        <v>168841</v>
      </c>
      <c r="R22" s="100" t="inlineStr">
        <is>
          <t xml:space="preserve"/>
        </is>
      </c>
      <c r="T22">
        <v>0</v>
      </c>
    </row>
    <row r="23">
      <c r="B23" s="98" t="inlineStr">
        <is>
          <t xml:space="preserve">   A2-1  후문 주간 상주 (07~19시)</t>
        </is>
      </c>
      <c r="C23" s="99">
        <v>29379.7412</v>
      </c>
      <c r="D23" s="171">
        <f>SUM(E23:J23)</f>
        <v>2688.91</v>
      </c>
      <c r="E23" s="171">
        <v>2688.91</v>
      </c>
      <c r="F23" s="171">
        <v>0</v>
      </c>
      <c r="G23" s="171">
        <v>0</v>
      </c>
      <c r="H23" s="171">
        <v>0</v>
      </c>
      <c r="I23" s="171">
        <v>0</v>
      </c>
      <c r="J23" s="171">
        <v>0</v>
      </c>
      <c r="K23" s="99">
        <f>SUM(L23:Q23)</f>
        <v>78999480</v>
      </c>
      <c r="L23" s="99">
        <v>78999480</v>
      </c>
      <c r="M23" s="99">
        <v>0</v>
      </c>
      <c r="N23" s="99">
        <v>0</v>
      </c>
      <c r="O23" s="99">
        <v>0</v>
      </c>
      <c r="P23" s="99">
        <v>0</v>
      </c>
      <c r="Q23" s="99">
        <v>0</v>
      </c>
      <c r="R23" s="100" t="inlineStr">
        <is>
          <t xml:space="preserve">상주 시간 중 다른 업무를 뺀 경계·대기</t>
        </is>
      </c>
      <c r="T23">
        <v>1</v>
      </c>
    </row>
    <row r="24">
      <c r="B24" s="98" t="inlineStr">
        <is>
          <t xml:space="preserve">   A2-2  출퇴근 시간 출입 통제</t>
        </is>
      </c>
      <c r="C24" s="99">
        <v>29379.7279</v>
      </c>
      <c r="D24" s="171">
        <f>SUM(E24:J24)</f>
        <v>299.8214</v>
      </c>
      <c r="E24" s="171">
        <v>202.0714</v>
      </c>
      <c r="F24" s="171">
        <v>0</v>
      </c>
      <c r="G24" s="171">
        <v>85.4286</v>
      </c>
      <c r="H24" s="171">
        <v>0</v>
      </c>
      <c r="I24" s="171">
        <v>12.3214</v>
      </c>
      <c r="J24" s="171">
        <v>0</v>
      </c>
      <c r="K24" s="99">
        <f>SUM(L24:Q24)</f>
        <v>8808672</v>
      </c>
      <c r="L24" s="99">
        <v>5936804</v>
      </c>
      <c r="M24" s="99">
        <v>0</v>
      </c>
      <c r="N24" s="99">
        <v>2509868</v>
      </c>
      <c r="O24" s="99">
        <v>0</v>
      </c>
      <c r="P24" s="99">
        <v>362000</v>
      </c>
      <c r="Q24" s="99">
        <v>0</v>
      </c>
      <c r="R24" s="100" t="inlineStr">
        <is>
          <t xml:space="preserve"/>
        </is>
      </c>
      <c r="T24">
        <v>1</v>
      </c>
    </row>
    <row r="25">
      <c r="B25" s="98" t="inlineStr">
        <is>
          <t xml:space="preserve">   A2-3  야간 출입문 시건·개방</t>
        </is>
      </c>
      <c r="C25" s="99">
        <v>29379.7483</v>
      </c>
      <c r="D25" s="171">
        <f>SUM(E25:J25)</f>
        <v>139.84</v>
      </c>
      <c r="E25" s="171">
        <v>0</v>
      </c>
      <c r="F25" s="171">
        <v>94.2483</v>
      </c>
      <c r="G25" s="171">
        <v>0</v>
      </c>
      <c r="H25" s="171">
        <v>39.8448</v>
      </c>
      <c r="I25" s="171">
        <v>0</v>
      </c>
      <c r="J25" s="171">
        <v>5.7468</v>
      </c>
      <c r="K25" s="99">
        <f>SUM(L25:Q25)</f>
        <v>4108464</v>
      </c>
      <c r="L25" s="99">
        <v>0</v>
      </c>
      <c r="M25" s="99">
        <v>2768992</v>
      </c>
      <c r="N25" s="99">
        <v>0</v>
      </c>
      <c r="O25" s="99">
        <v>1170631</v>
      </c>
      <c r="P25" s="99">
        <v>0</v>
      </c>
      <c r="Q25" s="99">
        <v>168841</v>
      </c>
      <c r="R25" s="100" t="inlineStr">
        <is>
          <t xml:space="preserve"/>
        </is>
      </c>
      <c r="T25">
        <v>1</v>
      </c>
    </row>
    <row r="26" ht="17" customHeight="1">
      <c r="B26" s="105" t="inlineStr">
        <is>
          <t xml:space="preserve">A3  출입보안시스템</t>
        </is>
      </c>
      <c r="C26" s="106">
        <v>29379.7616</v>
      </c>
      <c r="D26" s="172">
        <f>SUM(E26:J26)</f>
        <v>224.7702</v>
      </c>
      <c r="E26" s="172">
        <v>167.7806</v>
      </c>
      <c r="F26" s="172">
        <v>0</v>
      </c>
      <c r="G26" s="172">
        <v>49.806</v>
      </c>
      <c r="H26" s="172">
        <v>0</v>
      </c>
      <c r="I26" s="172">
        <v>7.1836</v>
      </c>
      <c r="J26" s="172">
        <v>0</v>
      </c>
      <c r="K26" s="106">
        <f>SUM(L26:Q26)</f>
        <v>6603696</v>
      </c>
      <c r="L26" s="106">
        <v>4929356</v>
      </c>
      <c r="M26" s="106">
        <v>0</v>
      </c>
      <c r="N26" s="106">
        <v>1463288</v>
      </c>
      <c r="O26" s="106">
        <v>0</v>
      </c>
      <c r="P26" s="106">
        <v>211052</v>
      </c>
      <c r="Q26" s="106">
        <v>0</v>
      </c>
      <c r="R26" s="100" t="inlineStr">
        <is>
          <t xml:space="preserve"/>
        </is>
      </c>
      <c r="T26">
        <v>0</v>
      </c>
    </row>
    <row r="27">
      <c r="B27" s="98" t="inlineStr">
        <is>
          <t xml:space="preserve">   A3-1  출입카드 발급·회수·분실 처리</t>
        </is>
      </c>
      <c r="C27" s="99">
        <v>29379.808</v>
      </c>
      <c r="D27" s="171">
        <f>SUM(E27:J27)</f>
        <v>49.9702</v>
      </c>
      <c r="E27" s="171">
        <v>49.9702</v>
      </c>
      <c r="F27" s="171">
        <v>0</v>
      </c>
      <c r="G27" s="171">
        <v>0</v>
      </c>
      <c r="H27" s="171">
        <v>0</v>
      </c>
      <c r="I27" s="171">
        <v>0</v>
      </c>
      <c r="J27" s="171">
        <v>0</v>
      </c>
      <c r="K27" s="99">
        <f>SUM(L27:Q27)</f>
        <v>1468116</v>
      </c>
      <c r="L27" s="99">
        <v>1468116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100" t="inlineStr">
        <is>
          <t xml:space="preserve"/>
        </is>
      </c>
      <c r="T27">
        <v>1</v>
      </c>
    </row>
    <row r="28">
      <c r="B28" s="98" t="inlineStr">
        <is>
          <t xml:space="preserve">   A3-2  출입기록 확인·이상 출입 조치</t>
        </is>
      </c>
      <c r="C28" s="99">
        <v>29379.7483</v>
      </c>
      <c r="D28" s="171">
        <f>SUM(E28:J28)</f>
        <v>104.88</v>
      </c>
      <c r="E28" s="171">
        <v>70.6862</v>
      </c>
      <c r="F28" s="171">
        <v>0</v>
      </c>
      <c r="G28" s="171">
        <v>29.8836</v>
      </c>
      <c r="H28" s="171">
        <v>0</v>
      </c>
      <c r="I28" s="171">
        <v>4.3101</v>
      </c>
      <c r="J28" s="171">
        <v>0</v>
      </c>
      <c r="K28" s="99">
        <f>SUM(L28:Q28)</f>
        <v>3081348</v>
      </c>
      <c r="L28" s="99">
        <v>2076744</v>
      </c>
      <c r="M28" s="99">
        <v>0</v>
      </c>
      <c r="N28" s="99">
        <v>877973</v>
      </c>
      <c r="O28" s="99">
        <v>0</v>
      </c>
      <c r="P28" s="99">
        <v>126631</v>
      </c>
      <c r="Q28" s="99">
        <v>0</v>
      </c>
      <c r="R28" s="100" t="inlineStr">
        <is>
          <t xml:space="preserve"/>
        </is>
      </c>
      <c r="T28">
        <v>1</v>
      </c>
    </row>
    <row r="29">
      <c r="B29" s="98" t="inlineStr">
        <is>
          <t xml:space="preserve">   A3-3  스피드게이트·출입통제기 작동 확인</t>
        </is>
      </c>
      <c r="C29" s="99">
        <v>29379.7483</v>
      </c>
      <c r="D29" s="171">
        <f>SUM(E29:J29)</f>
        <v>69.92</v>
      </c>
      <c r="E29" s="171">
        <v>47.1242</v>
      </c>
      <c r="F29" s="171">
        <v>0</v>
      </c>
      <c r="G29" s="171">
        <v>19.9224</v>
      </c>
      <c r="H29" s="171">
        <v>0</v>
      </c>
      <c r="I29" s="171">
        <v>2.8734</v>
      </c>
      <c r="J29" s="171">
        <v>0</v>
      </c>
      <c r="K29" s="99">
        <f>SUM(L29:Q29)</f>
        <v>2054232</v>
      </c>
      <c r="L29" s="99">
        <v>1384496</v>
      </c>
      <c r="M29" s="99">
        <v>0</v>
      </c>
      <c r="N29" s="99">
        <v>585315</v>
      </c>
      <c r="O29" s="99">
        <v>0</v>
      </c>
      <c r="P29" s="99">
        <v>84421</v>
      </c>
      <c r="Q29" s="99">
        <v>0</v>
      </c>
      <c r="R29" s="100" t="inlineStr">
        <is>
          <t xml:space="preserve"/>
        </is>
      </c>
      <c r="T29">
        <v>1</v>
      </c>
    </row>
    <row r="30" ht="17" customHeight="1">
      <c r="B30" s="105" t="inlineStr">
        <is>
          <t xml:space="preserve">B  순찰</t>
        </is>
      </c>
      <c r="C30" s="106">
        <v>29379.7433</v>
      </c>
      <c r="D30" s="172">
        <f>SUM(E30:J30)</f>
        <v>5015.472</v>
      </c>
      <c r="E30" s="172">
        <v>3242.7989</v>
      </c>
      <c r="F30" s="172">
        <v>254.4705</v>
      </c>
      <c r="G30" s="172">
        <v>1219.2516</v>
      </c>
      <c r="H30" s="172">
        <v>107.581</v>
      </c>
      <c r="I30" s="172">
        <v>175.8536</v>
      </c>
      <c r="J30" s="172">
        <v>15.5165</v>
      </c>
      <c r="K30" s="106">
        <f>SUM(L30:Q30)</f>
        <v>147353280</v>
      </c>
      <c r="L30" s="106">
        <v>95272599</v>
      </c>
      <c r="M30" s="106">
        <v>7476276</v>
      </c>
      <c r="N30" s="106">
        <v>35821299</v>
      </c>
      <c r="O30" s="106">
        <v>3160702</v>
      </c>
      <c r="P30" s="106">
        <v>5166534</v>
      </c>
      <c r="Q30" s="106">
        <v>455870</v>
      </c>
      <c r="R30" s="100" t="inlineStr">
        <is>
          <t xml:space="preserve"/>
        </is>
      </c>
      <c r="T30">
        <v>0</v>
      </c>
    </row>
    <row r="31" ht="17" customHeight="1">
      <c r="B31" s="105" t="inlineStr">
        <is>
          <t xml:space="preserve">B1  정기순찰</t>
        </is>
      </c>
      <c r="C31" s="106">
        <v>29379.7433</v>
      </c>
      <c r="D31" s="172">
        <f>SUM(E31:J31)</f>
        <v>3817.632</v>
      </c>
      <c r="E31" s="172">
        <v>2318.5089</v>
      </c>
      <c r="F31" s="172">
        <v>254.4705</v>
      </c>
      <c r="G31" s="172">
        <v>980.1826</v>
      </c>
      <c r="H31" s="172">
        <v>107.581</v>
      </c>
      <c r="I31" s="172">
        <v>141.3725</v>
      </c>
      <c r="J31" s="172">
        <v>15.5165</v>
      </c>
      <c r="K31" s="106">
        <f>SUM(L31:Q31)</f>
        <v>112161048</v>
      </c>
      <c r="L31" s="106">
        <v>68117198</v>
      </c>
      <c r="M31" s="106">
        <v>7476276</v>
      </c>
      <c r="N31" s="106">
        <v>28797514</v>
      </c>
      <c r="O31" s="106">
        <v>3160702</v>
      </c>
      <c r="P31" s="106">
        <v>4153488</v>
      </c>
      <c r="Q31" s="106">
        <v>455870</v>
      </c>
      <c r="R31" s="100" t="inlineStr">
        <is>
          <t xml:space="preserve"/>
        </is>
      </c>
      <c r="T31">
        <v>0</v>
      </c>
    </row>
    <row r="32">
      <c r="B32" s="98" t="inlineStr">
        <is>
          <t xml:space="preserve">   B1-1  외곽 울타리·담장 순찰</t>
        </is>
      </c>
      <c r="C32" s="99">
        <v>29379.7411</v>
      </c>
      <c r="D32" s="171">
        <f>SUM(E32:J32)</f>
        <v>1678.08</v>
      </c>
      <c r="E32" s="171">
        <v>1130.9799</v>
      </c>
      <c r="F32" s="171">
        <v>0</v>
      </c>
      <c r="G32" s="171">
        <v>478.1379</v>
      </c>
      <c r="H32" s="171">
        <v>0</v>
      </c>
      <c r="I32" s="171">
        <v>68.9622</v>
      </c>
      <c r="J32" s="171">
        <v>0</v>
      </c>
      <c r="K32" s="99">
        <f>SUM(L32:Q32)</f>
        <v>49301556</v>
      </c>
      <c r="L32" s="99">
        <v>33227898</v>
      </c>
      <c r="M32" s="99">
        <v>0</v>
      </c>
      <c r="N32" s="99">
        <v>14047567</v>
      </c>
      <c r="O32" s="99">
        <v>0</v>
      </c>
      <c r="P32" s="99">
        <v>2026091</v>
      </c>
      <c r="Q32" s="99">
        <v>0</v>
      </c>
      <c r="R32" s="100" t="inlineStr">
        <is>
          <t xml:space="preserve"/>
        </is>
      </c>
      <c r="T32">
        <v>1</v>
      </c>
    </row>
    <row r="33">
      <c r="B33" s="98" t="inlineStr">
        <is>
          <t xml:space="preserve">   B1-2  건물 내부 층별 순찰</t>
        </is>
      </c>
      <c r="C33" s="99">
        <v>29379.7483</v>
      </c>
      <c r="D33" s="171">
        <f>SUM(E33:J33)</f>
        <v>1258.56</v>
      </c>
      <c r="E33" s="171">
        <v>848.235</v>
      </c>
      <c r="F33" s="171">
        <v>0</v>
      </c>
      <c r="G33" s="171">
        <v>358.6034</v>
      </c>
      <c r="H33" s="171">
        <v>0</v>
      </c>
      <c r="I33" s="171">
        <v>51.7216</v>
      </c>
      <c r="J33" s="171">
        <v>0</v>
      </c>
      <c r="K33" s="99">
        <f>SUM(L33:Q33)</f>
        <v>36976176</v>
      </c>
      <c r="L33" s="99">
        <v>24920930</v>
      </c>
      <c r="M33" s="99">
        <v>0</v>
      </c>
      <c r="N33" s="99">
        <v>10535677</v>
      </c>
      <c r="O33" s="99">
        <v>0</v>
      </c>
      <c r="P33" s="99">
        <v>1519569</v>
      </c>
      <c r="Q33" s="99">
        <v>0</v>
      </c>
      <c r="R33" s="100" t="inlineStr">
        <is>
          <t xml:space="preserve"/>
        </is>
      </c>
      <c r="T33">
        <v>1</v>
      </c>
    </row>
    <row r="34">
      <c r="B34" s="98" t="inlineStr">
        <is>
          <t xml:space="preserve">   B1-3  주차장 순찰</t>
        </is>
      </c>
      <c r="C34" s="99">
        <v>29379.7435</v>
      </c>
      <c r="D34" s="171">
        <f>SUM(E34:J34)</f>
        <v>503.424</v>
      </c>
      <c r="E34" s="171">
        <v>339.294</v>
      </c>
      <c r="F34" s="171">
        <v>0</v>
      </c>
      <c r="G34" s="171">
        <v>143.4414</v>
      </c>
      <c r="H34" s="171">
        <v>0</v>
      </c>
      <c r="I34" s="171">
        <v>20.6887</v>
      </c>
      <c r="J34" s="171">
        <v>0</v>
      </c>
      <c r="K34" s="99">
        <f>SUM(L34:Q34)</f>
        <v>14790468</v>
      </c>
      <c r="L34" s="99">
        <v>9968370</v>
      </c>
      <c r="M34" s="99">
        <v>0</v>
      </c>
      <c r="N34" s="99">
        <v>4214270</v>
      </c>
      <c r="O34" s="99">
        <v>0</v>
      </c>
      <c r="P34" s="99">
        <v>607828</v>
      </c>
      <c r="Q34" s="99">
        <v>0</v>
      </c>
      <c r="R34" s="100" t="inlineStr">
        <is>
          <t xml:space="preserve"/>
        </is>
      </c>
      <c r="T34">
        <v>1</v>
      </c>
    </row>
    <row r="35">
      <c r="B35" s="98" t="inlineStr">
        <is>
          <t xml:space="preserve">   B1-4  야간 문단속·소등·전열기구 확인</t>
        </is>
      </c>
      <c r="C35" s="99">
        <v>29379.7356</v>
      </c>
      <c r="D35" s="171">
        <f>SUM(E35:J35)</f>
        <v>377.568</v>
      </c>
      <c r="E35" s="171">
        <v>0</v>
      </c>
      <c r="F35" s="171">
        <v>254.4705</v>
      </c>
      <c r="G35" s="171">
        <v>0</v>
      </c>
      <c r="H35" s="171">
        <v>107.581</v>
      </c>
      <c r="I35" s="171">
        <v>0</v>
      </c>
      <c r="J35" s="171">
        <v>15.5165</v>
      </c>
      <c r="K35" s="99">
        <f>SUM(L35:Q35)</f>
        <v>11092848</v>
      </c>
      <c r="L35" s="99">
        <v>0</v>
      </c>
      <c r="M35" s="99">
        <v>7476276</v>
      </c>
      <c r="N35" s="99">
        <v>0</v>
      </c>
      <c r="O35" s="99">
        <v>3160702</v>
      </c>
      <c r="P35" s="99">
        <v>0</v>
      </c>
      <c r="Q35" s="99">
        <v>455870</v>
      </c>
      <c r="R35" s="100" t="inlineStr">
        <is>
          <t xml:space="preserve"/>
        </is>
      </c>
      <c r="T35">
        <v>1</v>
      </c>
    </row>
    <row r="36" ht="17" customHeight="1">
      <c r="B36" s="105" t="inlineStr">
        <is>
          <t xml:space="preserve">B2  특별순찰</t>
        </is>
      </c>
      <c r="C36" s="106">
        <v>29379.7435</v>
      </c>
      <c r="D36" s="172">
        <f>SUM(E36:J36)</f>
        <v>1197.84</v>
      </c>
      <c r="E36" s="172">
        <v>924.29</v>
      </c>
      <c r="F36" s="172">
        <v>0</v>
      </c>
      <c r="G36" s="172">
        <v>239.0689</v>
      </c>
      <c r="H36" s="172">
        <v>0</v>
      </c>
      <c r="I36" s="172">
        <v>34.4811</v>
      </c>
      <c r="J36" s="172">
        <v>0</v>
      </c>
      <c r="K36" s="106">
        <f>SUM(L36:Q36)</f>
        <v>35192232</v>
      </c>
      <c r="L36" s="106">
        <v>27155401</v>
      </c>
      <c r="M36" s="106">
        <v>0</v>
      </c>
      <c r="N36" s="106">
        <v>7023785</v>
      </c>
      <c r="O36" s="106">
        <v>0</v>
      </c>
      <c r="P36" s="106">
        <v>1013046</v>
      </c>
      <c r="Q36" s="106">
        <v>0</v>
      </c>
      <c r="R36" s="100" t="inlineStr">
        <is>
          <t xml:space="preserve"/>
        </is>
      </c>
      <c r="T36">
        <v>0</v>
      </c>
    </row>
    <row r="37">
      <c r="B37" s="98" t="inlineStr">
        <is>
          <t xml:space="preserve">   B2-1  취약지역·사각지대 집중 순찰</t>
        </is>
      </c>
      <c r="C37" s="99">
        <v>29379.7483</v>
      </c>
      <c r="D37" s="171">
        <f>SUM(E37:J37)</f>
        <v>839.04</v>
      </c>
      <c r="E37" s="171">
        <v>565.49</v>
      </c>
      <c r="F37" s="171">
        <v>0</v>
      </c>
      <c r="G37" s="171">
        <v>239.0689</v>
      </c>
      <c r="H37" s="171">
        <v>0</v>
      </c>
      <c r="I37" s="171">
        <v>34.4811</v>
      </c>
      <c r="J37" s="171">
        <v>0</v>
      </c>
      <c r="K37" s="99">
        <f>SUM(L37:Q37)</f>
        <v>24650784</v>
      </c>
      <c r="L37" s="99">
        <v>16613953</v>
      </c>
      <c r="M37" s="99">
        <v>0</v>
      </c>
      <c r="N37" s="99">
        <v>7023785</v>
      </c>
      <c r="O37" s="99">
        <v>0</v>
      </c>
      <c r="P37" s="99">
        <v>1013046</v>
      </c>
      <c r="Q37" s="99">
        <v>0</v>
      </c>
      <c r="R37" s="100" t="inlineStr">
        <is>
          <t xml:space="preserve"/>
        </is>
      </c>
      <c r="T37">
        <v>1</v>
      </c>
    </row>
    <row r="38">
      <c r="B38" s="98" t="inlineStr">
        <is>
          <t xml:space="preserve">   B2-2  휴일·공휴일 전수 점검</t>
        </is>
      </c>
      <c r="C38" s="99">
        <v>29379.7464</v>
      </c>
      <c r="D38" s="171">
        <f>SUM(E38:J38)</f>
        <v>331.2</v>
      </c>
      <c r="E38" s="171">
        <v>331.2</v>
      </c>
      <c r="F38" s="171">
        <v>0</v>
      </c>
      <c r="G38" s="171">
        <v>0</v>
      </c>
      <c r="H38" s="171">
        <v>0</v>
      </c>
      <c r="I38" s="171">
        <v>0</v>
      </c>
      <c r="J38" s="171">
        <v>0</v>
      </c>
      <c r="K38" s="99">
        <f>SUM(L38:Q38)</f>
        <v>9730572</v>
      </c>
      <c r="L38" s="99">
        <v>9730572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100" t="inlineStr">
        <is>
          <t xml:space="preserve"/>
        </is>
      </c>
      <c r="T38">
        <v>1</v>
      </c>
    </row>
    <row r="39">
      <c r="B39" s="98" t="inlineStr">
        <is>
          <t xml:space="preserve">   B2-3  기상특보(태풍·폭우·폭설) 비상 순찰</t>
        </is>
      </c>
      <c r="C39" s="99">
        <v>29379.5652</v>
      </c>
      <c r="D39" s="171">
        <f>SUM(E39:J39)</f>
        <v>27.6</v>
      </c>
      <c r="E39" s="171">
        <v>27.6</v>
      </c>
      <c r="F39" s="171">
        <v>0</v>
      </c>
      <c r="G39" s="171">
        <v>0</v>
      </c>
      <c r="H39" s="171">
        <v>0</v>
      </c>
      <c r="I39" s="171">
        <v>0</v>
      </c>
      <c r="J39" s="171">
        <v>0</v>
      </c>
      <c r="K39" s="99">
        <f>SUM(L39:Q39)</f>
        <v>810876</v>
      </c>
      <c r="L39" s="99">
        <v>810876</v>
      </c>
      <c r="M39" s="99">
        <v>0</v>
      </c>
      <c r="N39" s="99">
        <v>0</v>
      </c>
      <c r="O39" s="99">
        <v>0</v>
      </c>
      <c r="P39" s="99">
        <v>0</v>
      </c>
      <c r="Q39" s="99">
        <v>0</v>
      </c>
      <c r="R39" s="100" t="inlineStr">
        <is>
          <t xml:space="preserve"/>
        </is>
      </c>
      <c r="T39">
        <v>1</v>
      </c>
    </row>
    <row r="40" ht="17" customHeight="1">
      <c r="B40" s="105" t="inlineStr">
        <is>
          <t xml:space="preserve">C  상황대처</t>
        </is>
      </c>
      <c r="C40" s="106">
        <v>29379.7724</v>
      </c>
      <c r="D40" s="172">
        <f>SUM(E40:J40)</f>
        <v>628.0533</v>
      </c>
      <c r="E40" s="172">
        <v>491.2783</v>
      </c>
      <c r="F40" s="172">
        <v>0</v>
      </c>
      <c r="G40" s="172">
        <v>119.5345</v>
      </c>
      <c r="H40" s="172">
        <v>0</v>
      </c>
      <c r="I40" s="172">
        <v>17.2405</v>
      </c>
      <c r="J40" s="172">
        <v>0</v>
      </c>
      <c r="K40" s="106">
        <f>SUM(L40:Q40)</f>
        <v>18452064</v>
      </c>
      <c r="L40" s="106">
        <v>14433648</v>
      </c>
      <c r="M40" s="106">
        <v>0</v>
      </c>
      <c r="N40" s="106">
        <v>3511892</v>
      </c>
      <c r="O40" s="106">
        <v>0</v>
      </c>
      <c r="P40" s="106">
        <v>506524</v>
      </c>
      <c r="Q40" s="106">
        <v>0</v>
      </c>
      <c r="R40" s="100" t="inlineStr">
        <is>
          <t xml:space="preserve"/>
        </is>
      </c>
      <c r="T40">
        <v>0</v>
      </c>
    </row>
    <row r="41" ht="17" customHeight="1">
      <c r="B41" s="105" t="inlineStr">
        <is>
          <t xml:space="preserve">C1  화재·소방</t>
        </is>
      </c>
      <c r="C41" s="106">
        <v>29379.6829</v>
      </c>
      <c r="D41" s="172">
        <f>SUM(E41:J41)</f>
        <v>32.5833</v>
      </c>
      <c r="E41" s="172">
        <v>32.5833</v>
      </c>
      <c r="F41" s="172">
        <v>0</v>
      </c>
      <c r="G41" s="172">
        <v>0</v>
      </c>
      <c r="H41" s="172">
        <v>0</v>
      </c>
      <c r="I41" s="172">
        <v>0</v>
      </c>
      <c r="J41" s="172">
        <v>0</v>
      </c>
      <c r="K41" s="106">
        <f>SUM(L41:Q41)</f>
        <v>957288</v>
      </c>
      <c r="L41" s="106">
        <v>957288</v>
      </c>
      <c r="M41" s="106">
        <v>0</v>
      </c>
      <c r="N41" s="106">
        <v>0</v>
      </c>
      <c r="O41" s="106">
        <v>0</v>
      </c>
      <c r="P41" s="106">
        <v>0</v>
      </c>
      <c r="Q41" s="106">
        <v>0</v>
      </c>
      <c r="R41" s="100" t="inlineStr">
        <is>
          <t xml:space="preserve"/>
        </is>
      </c>
      <c r="T41">
        <v>0</v>
      </c>
    </row>
    <row r="42">
      <c r="B42" s="98" t="inlineStr">
        <is>
          <t xml:space="preserve">   C1-1  화재경보 발생 시 현장 출동·확인</t>
        </is>
      </c>
      <c r="C42" s="99">
        <v>29379.7101</v>
      </c>
      <c r="D42" s="171">
        <f>SUM(E42:J42)</f>
        <v>20.7</v>
      </c>
      <c r="E42" s="171">
        <v>20.7</v>
      </c>
      <c r="F42" s="171">
        <v>0</v>
      </c>
      <c r="G42" s="171">
        <v>0</v>
      </c>
      <c r="H42" s="171">
        <v>0</v>
      </c>
      <c r="I42" s="171">
        <v>0</v>
      </c>
      <c r="J42" s="171">
        <v>0</v>
      </c>
      <c r="K42" s="99">
        <f>SUM(L42:Q42)</f>
        <v>608160</v>
      </c>
      <c r="L42" s="99">
        <v>608160</v>
      </c>
      <c r="M42" s="99">
        <v>0</v>
      </c>
      <c r="N42" s="99">
        <v>0</v>
      </c>
      <c r="O42" s="99">
        <v>0</v>
      </c>
      <c r="P42" s="99">
        <v>0</v>
      </c>
      <c r="Q42" s="99">
        <v>0</v>
      </c>
      <c r="R42" s="100" t="inlineStr">
        <is>
          <t xml:space="preserve"/>
        </is>
      </c>
      <c r="T42">
        <v>1</v>
      </c>
    </row>
    <row r="43">
      <c r="B43" s="98" t="inlineStr">
        <is>
          <t xml:space="preserve">   C1-2  비화재보 복구·수신기 리셋</t>
        </is>
      </c>
      <c r="C43" s="99">
        <v>29380.4348</v>
      </c>
      <c r="D43" s="171">
        <f>SUM(E43:J43)</f>
        <v>9.2</v>
      </c>
      <c r="E43" s="171">
        <v>9.2</v>
      </c>
      <c r="F43" s="171">
        <v>0</v>
      </c>
      <c r="G43" s="171">
        <v>0</v>
      </c>
      <c r="H43" s="171">
        <v>0</v>
      </c>
      <c r="I43" s="171">
        <v>0</v>
      </c>
      <c r="J43" s="171">
        <v>0</v>
      </c>
      <c r="K43" s="99">
        <f>SUM(L43:Q43)</f>
        <v>270300</v>
      </c>
      <c r="L43" s="99">
        <v>270300</v>
      </c>
      <c r="M43" s="99">
        <v>0</v>
      </c>
      <c r="N43" s="99">
        <v>0</v>
      </c>
      <c r="O43" s="99">
        <v>0</v>
      </c>
      <c r="P43" s="99">
        <v>0</v>
      </c>
      <c r="Q43" s="99">
        <v>0</v>
      </c>
      <c r="R43" s="100" t="inlineStr">
        <is>
          <t xml:space="preserve"/>
        </is>
      </c>
      <c r="T43">
        <v>1</v>
      </c>
    </row>
    <row r="44">
      <c r="B44" s="98" t="inlineStr">
        <is>
          <t xml:space="preserve">   C1-3  초기 소화·피난 유도</t>
        </is>
      </c>
      <c r="C44" s="99">
        <v>29373.913</v>
      </c>
      <c r="D44" s="171">
        <f>SUM(E44:J44)</f>
        <v>1.15</v>
      </c>
      <c r="E44" s="171">
        <v>1.15</v>
      </c>
      <c r="F44" s="171">
        <v>0</v>
      </c>
      <c r="G44" s="171">
        <v>0</v>
      </c>
      <c r="H44" s="171">
        <v>0</v>
      </c>
      <c r="I44" s="171">
        <v>0</v>
      </c>
      <c r="J44" s="171">
        <v>0</v>
      </c>
      <c r="K44" s="99">
        <f>SUM(L44:Q44)</f>
        <v>33780</v>
      </c>
      <c r="L44" s="99">
        <v>33780</v>
      </c>
      <c r="M44" s="99">
        <v>0</v>
      </c>
      <c r="N44" s="99">
        <v>0</v>
      </c>
      <c r="O44" s="99">
        <v>0</v>
      </c>
      <c r="P44" s="99">
        <v>0</v>
      </c>
      <c r="Q44" s="99">
        <v>0</v>
      </c>
      <c r="R44" s="100" t="inlineStr">
        <is>
          <t xml:space="preserve"/>
        </is>
      </c>
      <c r="T44">
        <v>1</v>
      </c>
    </row>
    <row r="45">
      <c r="B45" s="98" t="inlineStr">
        <is>
          <t xml:space="preserve">   C1-4  소방서 신고·소방차 진입 안내</t>
        </is>
      </c>
      <c r="C45" s="99">
        <v>29379.1304</v>
      </c>
      <c r="D45" s="171">
        <f>SUM(E45:J45)</f>
        <v>1.5333</v>
      </c>
      <c r="E45" s="171">
        <v>1.5333</v>
      </c>
      <c r="F45" s="171">
        <v>0</v>
      </c>
      <c r="G45" s="171">
        <v>0</v>
      </c>
      <c r="H45" s="171">
        <v>0</v>
      </c>
      <c r="I45" s="171">
        <v>0</v>
      </c>
      <c r="J45" s="171">
        <v>0</v>
      </c>
      <c r="K45" s="99">
        <f>SUM(L45:Q45)</f>
        <v>45048</v>
      </c>
      <c r="L45" s="99">
        <v>45048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100" t="inlineStr">
        <is>
          <t xml:space="preserve"/>
        </is>
      </c>
      <c r="T45">
        <v>1</v>
      </c>
    </row>
    <row r="46" ht="17" customHeight="1">
      <c r="B46" s="105" t="inlineStr">
        <is>
          <t xml:space="preserve">C2  응급·안전사고</t>
        </is>
      </c>
      <c r="C46" s="106">
        <v>29380.4348</v>
      </c>
      <c r="D46" s="172">
        <f>SUM(E46:J46)</f>
        <v>27.6</v>
      </c>
      <c r="E46" s="172">
        <v>27.6</v>
      </c>
      <c r="F46" s="172">
        <v>0</v>
      </c>
      <c r="G46" s="172">
        <v>0</v>
      </c>
      <c r="H46" s="172">
        <v>0</v>
      </c>
      <c r="I46" s="172">
        <v>0</v>
      </c>
      <c r="J46" s="172">
        <v>0</v>
      </c>
      <c r="K46" s="106">
        <f>SUM(L46:Q46)</f>
        <v>810900</v>
      </c>
      <c r="L46" s="106">
        <v>810900</v>
      </c>
      <c r="M46" s="106">
        <v>0</v>
      </c>
      <c r="N46" s="106">
        <v>0</v>
      </c>
      <c r="O46" s="106">
        <v>0</v>
      </c>
      <c r="P46" s="106">
        <v>0</v>
      </c>
      <c r="Q46" s="106">
        <v>0</v>
      </c>
      <c r="R46" s="100" t="inlineStr">
        <is>
          <t xml:space="preserve"/>
        </is>
      </c>
      <c r="T46">
        <v>0</v>
      </c>
    </row>
    <row r="47">
      <c r="B47" s="98" t="inlineStr">
        <is>
          <t xml:space="preserve">   C2-1  응급환자 응급조치·119 신고·인계</t>
        </is>
      </c>
      <c r="C47" s="99">
        <v>29380.8696</v>
      </c>
      <c r="D47" s="171">
        <f>SUM(E47:J47)</f>
        <v>6.9</v>
      </c>
      <c r="E47" s="171">
        <v>6.9</v>
      </c>
      <c r="F47" s="171">
        <v>0</v>
      </c>
      <c r="G47" s="171">
        <v>0</v>
      </c>
      <c r="H47" s="171">
        <v>0</v>
      </c>
      <c r="I47" s="171">
        <v>0</v>
      </c>
      <c r="J47" s="171">
        <v>0</v>
      </c>
      <c r="K47" s="99">
        <f>SUM(L47:Q47)</f>
        <v>202728</v>
      </c>
      <c r="L47" s="99">
        <v>202728</v>
      </c>
      <c r="M47" s="99">
        <v>0</v>
      </c>
      <c r="N47" s="99">
        <v>0</v>
      </c>
      <c r="O47" s="99">
        <v>0</v>
      </c>
      <c r="P47" s="99">
        <v>0</v>
      </c>
      <c r="Q47" s="99">
        <v>0</v>
      </c>
      <c r="R47" s="100" t="inlineStr">
        <is>
          <t xml:space="preserve"/>
        </is>
      </c>
      <c r="T47">
        <v>1</v>
      </c>
    </row>
    <row r="48">
      <c r="B48" s="98" t="inlineStr">
        <is>
          <t xml:space="preserve">   C2-2  AED·구급함 점검</t>
        </is>
      </c>
      <c r="C48" s="99">
        <v>29380.8696</v>
      </c>
      <c r="D48" s="171">
        <f>SUM(E48:J48)</f>
        <v>6.9</v>
      </c>
      <c r="E48" s="171">
        <v>6.9</v>
      </c>
      <c r="F48" s="171">
        <v>0</v>
      </c>
      <c r="G48" s="171">
        <v>0</v>
      </c>
      <c r="H48" s="171">
        <v>0</v>
      </c>
      <c r="I48" s="171">
        <v>0</v>
      </c>
      <c r="J48" s="171">
        <v>0</v>
      </c>
      <c r="K48" s="99">
        <f>SUM(L48:Q48)</f>
        <v>202728</v>
      </c>
      <c r="L48" s="99">
        <v>202728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100" t="inlineStr">
        <is>
          <t xml:space="preserve"/>
        </is>
      </c>
      <c r="T48">
        <v>1</v>
      </c>
    </row>
    <row r="49">
      <c r="B49" s="98" t="inlineStr">
        <is>
          <t xml:space="preserve">   C2-3  산업재해 발생 시 현장 통제·보고</t>
        </is>
      </c>
      <c r="C49" s="99">
        <v>29379.1304</v>
      </c>
      <c r="D49" s="171">
        <f>SUM(E49:J49)</f>
        <v>2.3</v>
      </c>
      <c r="E49" s="171">
        <v>2.3</v>
      </c>
      <c r="F49" s="171">
        <v>0</v>
      </c>
      <c r="G49" s="171">
        <v>0</v>
      </c>
      <c r="H49" s="171">
        <v>0</v>
      </c>
      <c r="I49" s="171">
        <v>0</v>
      </c>
      <c r="J49" s="171">
        <v>0</v>
      </c>
      <c r="K49" s="99">
        <f>SUM(L49:Q49)</f>
        <v>67572</v>
      </c>
      <c r="L49" s="99">
        <v>67572</v>
      </c>
      <c r="M49" s="99">
        <v>0</v>
      </c>
      <c r="N49" s="99">
        <v>0</v>
      </c>
      <c r="O49" s="99">
        <v>0</v>
      </c>
      <c r="P49" s="99">
        <v>0</v>
      </c>
      <c r="Q49" s="99">
        <v>0</v>
      </c>
      <c r="R49" s="100" t="inlineStr">
        <is>
          <t xml:space="preserve"/>
        </is>
      </c>
      <c r="T49">
        <v>1</v>
      </c>
    </row>
    <row r="50">
      <c r="B50" s="98" t="inlineStr">
        <is>
          <t xml:space="preserve">   C2-4  승강기 갇힘 사고 대응·구조 연계</t>
        </is>
      </c>
      <c r="C50" s="99">
        <v>29380.8696</v>
      </c>
      <c r="D50" s="171">
        <f>SUM(E50:J50)</f>
        <v>6.9</v>
      </c>
      <c r="E50" s="171">
        <v>6.9</v>
      </c>
      <c r="F50" s="171">
        <v>0</v>
      </c>
      <c r="G50" s="171">
        <v>0</v>
      </c>
      <c r="H50" s="171">
        <v>0</v>
      </c>
      <c r="I50" s="171">
        <v>0</v>
      </c>
      <c r="J50" s="171">
        <v>0</v>
      </c>
      <c r="K50" s="99">
        <f>SUM(L50:Q50)</f>
        <v>202728</v>
      </c>
      <c r="L50" s="99">
        <v>202728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100" t="inlineStr">
        <is>
          <t xml:space="preserve"/>
        </is>
      </c>
      <c r="T50">
        <v>1</v>
      </c>
    </row>
    <row r="51">
      <c r="B51" s="98" t="inlineStr">
        <is>
          <t xml:space="preserve">   C2-5  넘어짐·추락 사고 현장 조치</t>
        </is>
      </c>
      <c r="C51" s="99">
        <v>29379.1304</v>
      </c>
      <c r="D51" s="171">
        <f>SUM(E51:J51)</f>
        <v>4.6</v>
      </c>
      <c r="E51" s="171">
        <v>4.6</v>
      </c>
      <c r="F51" s="171">
        <v>0</v>
      </c>
      <c r="G51" s="171">
        <v>0</v>
      </c>
      <c r="H51" s="171">
        <v>0</v>
      </c>
      <c r="I51" s="171">
        <v>0</v>
      </c>
      <c r="J51" s="171">
        <v>0</v>
      </c>
      <c r="K51" s="99">
        <f>SUM(L51:Q51)</f>
        <v>135144</v>
      </c>
      <c r="L51" s="99">
        <v>135144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100" t="inlineStr">
        <is>
          <t xml:space="preserve"/>
        </is>
      </c>
      <c r="T51">
        <v>1</v>
      </c>
    </row>
    <row r="52" ht="17" customHeight="1">
      <c r="B52" s="105" t="inlineStr">
        <is>
          <t xml:space="preserve">C3  침입·도난·범죄</t>
        </is>
      </c>
      <c r="C52" s="106">
        <v>29379.7267</v>
      </c>
      <c r="D52" s="172">
        <f>SUM(E52:J52)</f>
        <v>80.5</v>
      </c>
      <c r="E52" s="172">
        <v>80.5</v>
      </c>
      <c r="F52" s="172">
        <v>0</v>
      </c>
      <c r="G52" s="172">
        <v>0</v>
      </c>
      <c r="H52" s="172">
        <v>0</v>
      </c>
      <c r="I52" s="172">
        <v>0</v>
      </c>
      <c r="J52" s="172">
        <v>0</v>
      </c>
      <c r="K52" s="106">
        <f>SUM(L52:Q52)</f>
        <v>2365068</v>
      </c>
      <c r="L52" s="106">
        <v>2365068</v>
      </c>
      <c r="M52" s="106">
        <v>0</v>
      </c>
      <c r="N52" s="106">
        <v>0</v>
      </c>
      <c r="O52" s="106">
        <v>0</v>
      </c>
      <c r="P52" s="106">
        <v>0</v>
      </c>
      <c r="Q52" s="106">
        <v>0</v>
      </c>
      <c r="R52" s="100" t="inlineStr">
        <is>
          <t xml:space="preserve"/>
        </is>
      </c>
      <c r="T52">
        <v>0</v>
      </c>
    </row>
    <row r="53">
      <c r="B53" s="98" t="inlineStr">
        <is>
          <t xml:space="preserve">   C3-1  무단침입 발생 시 대응·경찰 신고</t>
        </is>
      </c>
      <c r="C53" s="99">
        <v>29379.7826</v>
      </c>
      <c r="D53" s="171">
        <f>SUM(E53:J53)</f>
        <v>18.4</v>
      </c>
      <c r="E53" s="171">
        <v>18.4</v>
      </c>
      <c r="F53" s="171">
        <v>0</v>
      </c>
      <c r="G53" s="171">
        <v>0</v>
      </c>
      <c r="H53" s="171">
        <v>0</v>
      </c>
      <c r="I53" s="171">
        <v>0</v>
      </c>
      <c r="J53" s="171">
        <v>0</v>
      </c>
      <c r="K53" s="99">
        <f>SUM(L53:Q53)</f>
        <v>540588</v>
      </c>
      <c r="L53" s="99">
        <v>540588</v>
      </c>
      <c r="M53" s="99">
        <v>0</v>
      </c>
      <c r="N53" s="99">
        <v>0</v>
      </c>
      <c r="O53" s="99">
        <v>0</v>
      </c>
      <c r="P53" s="99">
        <v>0</v>
      </c>
      <c r="Q53" s="99">
        <v>0</v>
      </c>
      <c r="R53" s="100" t="inlineStr">
        <is>
          <t xml:space="preserve"/>
        </is>
      </c>
      <c r="T53">
        <v>1</v>
      </c>
    </row>
    <row r="54">
      <c r="B54" s="98" t="inlineStr">
        <is>
          <t xml:space="preserve">   C3-2  도난·분실 신고 접수·조사 협조</t>
        </is>
      </c>
      <c r="C54" s="99">
        <v>29380.8696</v>
      </c>
      <c r="D54" s="171">
        <f>SUM(E54:J54)</f>
        <v>6.9</v>
      </c>
      <c r="E54" s="171">
        <v>6.9</v>
      </c>
      <c r="F54" s="171">
        <v>0</v>
      </c>
      <c r="G54" s="171">
        <v>0</v>
      </c>
      <c r="H54" s="171">
        <v>0</v>
      </c>
      <c r="I54" s="171">
        <v>0</v>
      </c>
      <c r="J54" s="171">
        <v>0</v>
      </c>
      <c r="K54" s="99">
        <f>SUM(L54:Q54)</f>
        <v>202728</v>
      </c>
      <c r="L54" s="99">
        <v>202728</v>
      </c>
      <c r="M54" s="99">
        <v>0</v>
      </c>
      <c r="N54" s="99">
        <v>0</v>
      </c>
      <c r="O54" s="99">
        <v>0</v>
      </c>
      <c r="P54" s="99">
        <v>0</v>
      </c>
      <c r="Q54" s="99">
        <v>0</v>
      </c>
      <c r="R54" s="100" t="inlineStr">
        <is>
          <t xml:space="preserve"/>
        </is>
      </c>
      <c r="T54">
        <v>1</v>
      </c>
    </row>
    <row r="55">
      <c r="B55" s="98" t="inlineStr">
        <is>
          <t xml:space="preserve">   C3-3  CCTV 영상 확인·증거 보존 지원</t>
        </is>
      </c>
      <c r="C55" s="99">
        <v>29379.5652</v>
      </c>
      <c r="D55" s="171">
        <f>SUM(E55:J55)</f>
        <v>27.6</v>
      </c>
      <c r="E55" s="171">
        <v>27.6</v>
      </c>
      <c r="F55" s="171">
        <v>0</v>
      </c>
      <c r="G55" s="171">
        <v>0</v>
      </c>
      <c r="H55" s="171">
        <v>0</v>
      </c>
      <c r="I55" s="171">
        <v>0</v>
      </c>
      <c r="J55" s="171">
        <v>0</v>
      </c>
      <c r="K55" s="99">
        <f>SUM(L55:Q55)</f>
        <v>810876</v>
      </c>
      <c r="L55" s="99">
        <v>810876</v>
      </c>
      <c r="M55" s="99">
        <v>0</v>
      </c>
      <c r="N55" s="99">
        <v>0</v>
      </c>
      <c r="O55" s="99">
        <v>0</v>
      </c>
      <c r="P55" s="99">
        <v>0</v>
      </c>
      <c r="Q55" s="99">
        <v>0</v>
      </c>
      <c r="R55" s="100" t="inlineStr">
        <is>
          <t xml:space="preserve"/>
        </is>
      </c>
      <c r="T55">
        <v>1</v>
      </c>
    </row>
    <row r="56">
      <c r="B56" s="98" t="inlineStr">
        <is>
          <t xml:space="preserve">   C3-4  수상한 물건·거동 수상자 확인</t>
        </is>
      </c>
      <c r="C56" s="99">
        <v>29379.5652</v>
      </c>
      <c r="D56" s="171">
        <f>SUM(E56:J56)</f>
        <v>27.6</v>
      </c>
      <c r="E56" s="171">
        <v>27.6</v>
      </c>
      <c r="F56" s="171">
        <v>0</v>
      </c>
      <c r="G56" s="171">
        <v>0</v>
      </c>
      <c r="H56" s="171">
        <v>0</v>
      </c>
      <c r="I56" s="171">
        <v>0</v>
      </c>
      <c r="J56" s="171">
        <v>0</v>
      </c>
      <c r="K56" s="99">
        <f>SUM(L56:Q56)</f>
        <v>810876</v>
      </c>
      <c r="L56" s="99">
        <v>810876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100" t="inlineStr">
        <is>
          <t xml:space="preserve"/>
        </is>
      </c>
      <c r="T56">
        <v>1</v>
      </c>
    </row>
    <row r="57" ht="17" customHeight="1">
      <c r="B57" s="105" t="inlineStr">
        <is>
          <t xml:space="preserve">C4  소란·민원·폭력</t>
        </is>
      </c>
      <c r="C57" s="106">
        <v>29379.7638</v>
      </c>
      <c r="D57" s="172">
        <f>SUM(E57:J57)</f>
        <v>223.56</v>
      </c>
      <c r="E57" s="172">
        <v>155.1725</v>
      </c>
      <c r="F57" s="172">
        <v>0</v>
      </c>
      <c r="G57" s="172">
        <v>59.7672</v>
      </c>
      <c r="H57" s="172">
        <v>0</v>
      </c>
      <c r="I57" s="172">
        <v>8.6203</v>
      </c>
      <c r="J57" s="172">
        <v>0</v>
      </c>
      <c r="K57" s="106">
        <f>SUM(L57:Q57)</f>
        <v>6568140</v>
      </c>
      <c r="L57" s="106">
        <v>4558932</v>
      </c>
      <c r="M57" s="106">
        <v>0</v>
      </c>
      <c r="N57" s="106">
        <v>1755946</v>
      </c>
      <c r="O57" s="106">
        <v>0</v>
      </c>
      <c r="P57" s="106">
        <v>253262</v>
      </c>
      <c r="Q57" s="106">
        <v>0</v>
      </c>
      <c r="R57" s="100" t="inlineStr">
        <is>
          <t xml:space="preserve"/>
        </is>
      </c>
      <c r="T57">
        <v>0</v>
      </c>
    </row>
    <row r="58">
      <c r="B58" s="98" t="inlineStr">
        <is>
          <t xml:space="preserve">   C4-1  소란·난동 발생 시 제지·분리</t>
        </is>
      </c>
      <c r="C58" s="99">
        <v>29380.8696</v>
      </c>
      <c r="D58" s="171">
        <f>SUM(E58:J58)</f>
        <v>6.9</v>
      </c>
      <c r="E58" s="171">
        <v>6.9</v>
      </c>
      <c r="F58" s="171">
        <v>0</v>
      </c>
      <c r="G58" s="171">
        <v>0</v>
      </c>
      <c r="H58" s="171">
        <v>0</v>
      </c>
      <c r="I58" s="171">
        <v>0</v>
      </c>
      <c r="J58" s="171">
        <v>0</v>
      </c>
      <c r="K58" s="99">
        <f>SUM(L58:Q58)</f>
        <v>202728</v>
      </c>
      <c r="L58" s="99">
        <v>202728</v>
      </c>
      <c r="M58" s="99">
        <v>0</v>
      </c>
      <c r="N58" s="99">
        <v>0</v>
      </c>
      <c r="O58" s="99">
        <v>0</v>
      </c>
      <c r="P58" s="99">
        <v>0</v>
      </c>
      <c r="Q58" s="99">
        <v>0</v>
      </c>
      <c r="R58" s="100" t="inlineStr">
        <is>
          <t xml:space="preserve"/>
        </is>
      </c>
      <c r="T58">
        <v>1</v>
      </c>
    </row>
    <row r="59">
      <c r="B59" s="98" t="inlineStr">
        <is>
          <t xml:space="preserve">   C4-2  주취자·노숙인 대응</t>
        </is>
      </c>
      <c r="C59" s="99">
        <v>29379.1304</v>
      </c>
      <c r="D59" s="171">
        <f>SUM(E59:J59)</f>
        <v>4.6</v>
      </c>
      <c r="E59" s="171">
        <v>4.6</v>
      </c>
      <c r="F59" s="171">
        <v>0</v>
      </c>
      <c r="G59" s="171">
        <v>0</v>
      </c>
      <c r="H59" s="171">
        <v>0</v>
      </c>
      <c r="I59" s="171">
        <v>0</v>
      </c>
      <c r="J59" s="171">
        <v>0</v>
      </c>
      <c r="K59" s="99">
        <f>SUM(L59:Q59)</f>
        <v>135144</v>
      </c>
      <c r="L59" s="99">
        <v>135144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100" t="inlineStr">
        <is>
          <t xml:space="preserve"/>
        </is>
      </c>
      <c r="T59">
        <v>1</v>
      </c>
    </row>
    <row r="60">
      <c r="B60" s="98" t="inlineStr">
        <is>
          <t xml:space="preserve">   C4-3  현장 민원 접수·응대</t>
        </is>
      </c>
      <c r="C60" s="99">
        <v>29379.7483</v>
      </c>
      <c r="D60" s="171">
        <f>SUM(E60:J60)</f>
        <v>209.76</v>
      </c>
      <c r="E60" s="171">
        <v>141.3725</v>
      </c>
      <c r="F60" s="171">
        <v>0</v>
      </c>
      <c r="G60" s="171">
        <v>59.7672</v>
      </c>
      <c r="H60" s="171">
        <v>0</v>
      </c>
      <c r="I60" s="171">
        <v>8.6203</v>
      </c>
      <c r="J60" s="171">
        <v>0</v>
      </c>
      <c r="K60" s="99">
        <f>SUM(L60:Q60)</f>
        <v>6162696</v>
      </c>
      <c r="L60" s="99">
        <v>4153488</v>
      </c>
      <c r="M60" s="99">
        <v>0</v>
      </c>
      <c r="N60" s="99">
        <v>1755946</v>
      </c>
      <c r="O60" s="99">
        <v>0</v>
      </c>
      <c r="P60" s="99">
        <v>253262</v>
      </c>
      <c r="Q60" s="99">
        <v>0</v>
      </c>
      <c r="R60" s="100" t="inlineStr">
        <is>
          <t xml:space="preserve"/>
        </is>
      </c>
      <c r="T60">
        <v>1</v>
      </c>
    </row>
    <row r="61">
      <c r="B61" s="98" t="inlineStr">
        <is>
          <t xml:space="preserve">   C4-4  집회·시위 발생 시 출입 통제</t>
        </is>
      </c>
      <c r="C61" s="99">
        <v>29379.1304</v>
      </c>
      <c r="D61" s="171">
        <f>SUM(E61:J61)</f>
        <v>2.3</v>
      </c>
      <c r="E61" s="171">
        <v>2.3</v>
      </c>
      <c r="F61" s="171">
        <v>0</v>
      </c>
      <c r="G61" s="171">
        <v>0</v>
      </c>
      <c r="H61" s="171">
        <v>0</v>
      </c>
      <c r="I61" s="171">
        <v>0</v>
      </c>
      <c r="J61" s="171">
        <v>0</v>
      </c>
      <c r="K61" s="99">
        <f>SUM(L61:Q61)</f>
        <v>67572</v>
      </c>
      <c r="L61" s="99">
        <v>67572</v>
      </c>
      <c r="M61" s="99">
        <v>0</v>
      </c>
      <c r="N61" s="99">
        <v>0</v>
      </c>
      <c r="O61" s="99">
        <v>0</v>
      </c>
      <c r="P61" s="99">
        <v>0</v>
      </c>
      <c r="Q61" s="99">
        <v>0</v>
      </c>
      <c r="R61" s="100" t="inlineStr">
        <is>
          <t xml:space="preserve"/>
        </is>
      </c>
      <c r="T61">
        <v>1</v>
      </c>
    </row>
    <row r="62" ht="17" customHeight="1">
      <c r="B62" s="105" t="inlineStr">
        <is>
          <t xml:space="preserve">C5  설비 이상·재난</t>
        </is>
      </c>
      <c r="C62" s="106">
        <v>29379.5318</v>
      </c>
      <c r="D62" s="172">
        <f>SUM(E62:J62)</f>
        <v>44.85</v>
      </c>
      <c r="E62" s="172">
        <v>44.85</v>
      </c>
      <c r="F62" s="172">
        <v>0</v>
      </c>
      <c r="G62" s="172">
        <v>0</v>
      </c>
      <c r="H62" s="172">
        <v>0</v>
      </c>
      <c r="I62" s="172">
        <v>0</v>
      </c>
      <c r="J62" s="172">
        <v>0</v>
      </c>
      <c r="K62" s="106">
        <f>SUM(L62:Q62)</f>
        <v>1317672</v>
      </c>
      <c r="L62" s="106">
        <v>1317672</v>
      </c>
      <c r="M62" s="106">
        <v>0</v>
      </c>
      <c r="N62" s="106">
        <v>0</v>
      </c>
      <c r="O62" s="106">
        <v>0</v>
      </c>
      <c r="P62" s="106">
        <v>0</v>
      </c>
      <c r="Q62" s="106">
        <v>0</v>
      </c>
      <c r="R62" s="100" t="inlineStr">
        <is>
          <t xml:space="preserve"/>
        </is>
      </c>
      <c r="T62">
        <v>0</v>
      </c>
    </row>
    <row r="63">
      <c r="B63" s="98" t="inlineStr">
        <is>
          <t xml:space="preserve">   C5-1  정전 시 비상조명 확인·설비팀 연락</t>
        </is>
      </c>
      <c r="C63" s="99">
        <v>29373.913</v>
      </c>
      <c r="D63" s="171">
        <f>SUM(E63:J63)</f>
        <v>1.15</v>
      </c>
      <c r="E63" s="171">
        <v>1.15</v>
      </c>
      <c r="F63" s="171">
        <v>0</v>
      </c>
      <c r="G63" s="171">
        <v>0</v>
      </c>
      <c r="H63" s="171">
        <v>0</v>
      </c>
      <c r="I63" s="171">
        <v>0</v>
      </c>
      <c r="J63" s="171">
        <v>0</v>
      </c>
      <c r="K63" s="99">
        <f>SUM(L63:Q63)</f>
        <v>33780</v>
      </c>
      <c r="L63" s="99">
        <v>33780</v>
      </c>
      <c r="M63" s="99">
        <v>0</v>
      </c>
      <c r="N63" s="99">
        <v>0</v>
      </c>
      <c r="O63" s="99">
        <v>0</v>
      </c>
      <c r="P63" s="99">
        <v>0</v>
      </c>
      <c r="Q63" s="99">
        <v>0</v>
      </c>
      <c r="R63" s="100" t="inlineStr">
        <is>
          <t xml:space="preserve"/>
        </is>
      </c>
      <c r="T63">
        <v>1</v>
      </c>
    </row>
    <row r="64">
      <c r="B64" s="98" t="inlineStr">
        <is>
          <t xml:space="preserve">   C5-2  누수·배관 파열 초동 조치</t>
        </is>
      </c>
      <c r="C64" s="99">
        <v>29379.7101</v>
      </c>
      <c r="D64" s="171">
        <f>SUM(E64:J64)</f>
        <v>20.7</v>
      </c>
      <c r="E64" s="171">
        <v>20.7</v>
      </c>
      <c r="F64" s="171">
        <v>0</v>
      </c>
      <c r="G64" s="171">
        <v>0</v>
      </c>
      <c r="H64" s="171">
        <v>0</v>
      </c>
      <c r="I64" s="171">
        <v>0</v>
      </c>
      <c r="J64" s="171">
        <v>0</v>
      </c>
      <c r="K64" s="99">
        <f>SUM(L64:Q64)</f>
        <v>608160</v>
      </c>
      <c r="L64" s="99">
        <v>608160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100" t="inlineStr">
        <is>
          <t xml:space="preserve"/>
        </is>
      </c>
      <c r="T64">
        <v>1</v>
      </c>
    </row>
    <row r="65">
      <c r="B65" s="98" t="inlineStr">
        <is>
          <t xml:space="preserve">   C5-3  가스·화학물질 누출 초동 조치</t>
        </is>
      </c>
      <c r="C65" s="99">
        <v>29379.1304</v>
      </c>
      <c r="D65" s="171">
        <f>SUM(E65:J65)</f>
        <v>2.3</v>
      </c>
      <c r="E65" s="171">
        <v>2.3</v>
      </c>
      <c r="F65" s="171">
        <v>0</v>
      </c>
      <c r="G65" s="171">
        <v>0</v>
      </c>
      <c r="H65" s="171">
        <v>0</v>
      </c>
      <c r="I65" s="171">
        <v>0</v>
      </c>
      <c r="J65" s="171">
        <v>0</v>
      </c>
      <c r="K65" s="99">
        <f>SUM(L65:Q65)</f>
        <v>67572</v>
      </c>
      <c r="L65" s="99">
        <v>67572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100" t="inlineStr">
        <is>
          <t xml:space="preserve"/>
        </is>
      </c>
      <c r="T65">
        <v>1</v>
      </c>
    </row>
    <row r="66">
      <c r="B66" s="98" t="inlineStr">
        <is>
          <t xml:space="preserve">   C5-4  태풍·폭우 대비 시설물 결박·배수구 점검</t>
        </is>
      </c>
      <c r="C66" s="99">
        <v>29379.7101</v>
      </c>
      <c r="D66" s="171">
        <f>SUM(E66:J66)</f>
        <v>20.7</v>
      </c>
      <c r="E66" s="171">
        <v>20.7</v>
      </c>
      <c r="F66" s="171">
        <v>0</v>
      </c>
      <c r="G66" s="171">
        <v>0</v>
      </c>
      <c r="H66" s="171">
        <v>0</v>
      </c>
      <c r="I66" s="171">
        <v>0</v>
      </c>
      <c r="J66" s="171">
        <v>0</v>
      </c>
      <c r="K66" s="99">
        <f>SUM(L66:Q66)</f>
        <v>608160</v>
      </c>
      <c r="L66" s="99">
        <v>608160</v>
      </c>
      <c r="M66" s="99">
        <v>0</v>
      </c>
      <c r="N66" s="99">
        <v>0</v>
      </c>
      <c r="O66" s="99">
        <v>0</v>
      </c>
      <c r="P66" s="99">
        <v>0</v>
      </c>
      <c r="Q66" s="99">
        <v>0</v>
      </c>
      <c r="R66" s="100" t="inlineStr">
        <is>
          <t xml:space="preserve"/>
        </is>
      </c>
      <c r="T66">
        <v>1</v>
      </c>
    </row>
    <row r="67" ht="17" customHeight="1">
      <c r="B67" s="105" t="inlineStr">
        <is>
          <t xml:space="preserve">C6  교통·주차 사고</t>
        </is>
      </c>
      <c r="C67" s="106">
        <v>29379.7771</v>
      </c>
      <c r="D67" s="172">
        <f>SUM(E67:J67)</f>
        <v>218.96</v>
      </c>
      <c r="E67" s="172">
        <v>150.5725</v>
      </c>
      <c r="F67" s="172">
        <v>0</v>
      </c>
      <c r="G67" s="172">
        <v>59.7672</v>
      </c>
      <c r="H67" s="172">
        <v>0</v>
      </c>
      <c r="I67" s="172">
        <v>8.6203</v>
      </c>
      <c r="J67" s="172">
        <v>0</v>
      </c>
      <c r="K67" s="106">
        <f>SUM(L67:Q67)</f>
        <v>6432996</v>
      </c>
      <c r="L67" s="106">
        <v>4423788</v>
      </c>
      <c r="M67" s="106">
        <v>0</v>
      </c>
      <c r="N67" s="106">
        <v>1755946</v>
      </c>
      <c r="O67" s="106">
        <v>0</v>
      </c>
      <c r="P67" s="106">
        <v>253262</v>
      </c>
      <c r="Q67" s="106">
        <v>0</v>
      </c>
      <c r="R67" s="100" t="inlineStr">
        <is>
          <t xml:space="preserve"/>
        </is>
      </c>
      <c r="T67">
        <v>0</v>
      </c>
    </row>
    <row r="68">
      <c r="B68" s="98" t="inlineStr">
        <is>
          <t xml:space="preserve">   C6-1  구내 교통사고 현장 통제·보고</t>
        </is>
      </c>
      <c r="C68" s="99">
        <v>29380.4348</v>
      </c>
      <c r="D68" s="171">
        <f>SUM(E68:J68)</f>
        <v>9.2</v>
      </c>
      <c r="E68" s="171">
        <v>9.2</v>
      </c>
      <c r="F68" s="171">
        <v>0</v>
      </c>
      <c r="G68" s="171">
        <v>0</v>
      </c>
      <c r="H68" s="171">
        <v>0</v>
      </c>
      <c r="I68" s="171">
        <v>0</v>
      </c>
      <c r="J68" s="171">
        <v>0</v>
      </c>
      <c r="K68" s="99">
        <f>SUM(L68:Q68)</f>
        <v>270300</v>
      </c>
      <c r="L68" s="99">
        <v>270300</v>
      </c>
      <c r="M68" s="99">
        <v>0</v>
      </c>
      <c r="N68" s="99">
        <v>0</v>
      </c>
      <c r="O68" s="99">
        <v>0</v>
      </c>
      <c r="P68" s="99">
        <v>0</v>
      </c>
      <c r="Q68" s="99">
        <v>0</v>
      </c>
      <c r="R68" s="100" t="inlineStr">
        <is>
          <t xml:space="preserve"/>
        </is>
      </c>
      <c r="T68">
        <v>1</v>
      </c>
    </row>
    <row r="69">
      <c r="B69" s="98" t="inlineStr">
        <is>
          <t xml:space="preserve">   C6-2  통행 방해·불법주차 차량 조치</t>
        </is>
      </c>
      <c r="C69" s="99">
        <v>29379.7483</v>
      </c>
      <c r="D69" s="171">
        <f>SUM(E69:J69)</f>
        <v>209.76</v>
      </c>
      <c r="E69" s="171">
        <v>141.3725</v>
      </c>
      <c r="F69" s="171">
        <v>0</v>
      </c>
      <c r="G69" s="171">
        <v>59.7672</v>
      </c>
      <c r="H69" s="171">
        <v>0</v>
      </c>
      <c r="I69" s="171">
        <v>8.6203</v>
      </c>
      <c r="J69" s="171">
        <v>0</v>
      </c>
      <c r="K69" s="99">
        <f>SUM(L69:Q69)</f>
        <v>6162696</v>
      </c>
      <c r="L69" s="99">
        <v>4153488</v>
      </c>
      <c r="M69" s="99">
        <v>0</v>
      </c>
      <c r="N69" s="99">
        <v>1755946</v>
      </c>
      <c r="O69" s="99">
        <v>0</v>
      </c>
      <c r="P69" s="99">
        <v>253262</v>
      </c>
      <c r="Q69" s="99">
        <v>0</v>
      </c>
      <c r="R69" s="100" t="inlineStr">
        <is>
          <t xml:space="preserve"/>
        </is>
      </c>
      <c r="T69">
        <v>1</v>
      </c>
    </row>
    <row r="70" ht="17" customHeight="1">
      <c r="B70" s="105" t="inlineStr">
        <is>
          <t xml:space="preserve">D  관제·방재</t>
        </is>
      </c>
      <c r="C70" s="106">
        <v>29379.7271</v>
      </c>
      <c r="D70" s="172">
        <f>SUM(E70:J70)</f>
        <v>1024.6171</v>
      </c>
      <c r="E70" s="172">
        <v>762.465</v>
      </c>
      <c r="F70" s="172">
        <v>0</v>
      </c>
      <c r="G70" s="172">
        <v>229.1077</v>
      </c>
      <c r="H70" s="172">
        <v>0</v>
      </c>
      <c r="I70" s="172">
        <v>33.0444</v>
      </c>
      <c r="J70" s="172">
        <v>0</v>
      </c>
      <c r="K70" s="106">
        <f>SUM(L70:Q70)</f>
        <v>30102972</v>
      </c>
      <c r="L70" s="106">
        <v>22401012</v>
      </c>
      <c r="M70" s="106">
        <v>0</v>
      </c>
      <c r="N70" s="106">
        <v>6731124</v>
      </c>
      <c r="O70" s="106">
        <v>0</v>
      </c>
      <c r="P70" s="106">
        <v>970836</v>
      </c>
      <c r="Q70" s="106">
        <v>0</v>
      </c>
      <c r="R70" s="100" t="inlineStr">
        <is>
          <t xml:space="preserve"/>
        </is>
      </c>
      <c r="T70">
        <v>0</v>
      </c>
    </row>
    <row r="71" ht="17" customHeight="1">
      <c r="B71" s="105" t="inlineStr">
        <is>
          <t xml:space="preserve">D1  CCTV 관제</t>
        </is>
      </c>
      <c r="C71" s="106">
        <v>29379.7266</v>
      </c>
      <c r="D71" s="172">
        <f>SUM(E71:J71)</f>
        <v>567.0486</v>
      </c>
      <c r="E71" s="172">
        <v>430.2736</v>
      </c>
      <c r="F71" s="172">
        <v>0</v>
      </c>
      <c r="G71" s="172">
        <v>119.5345</v>
      </c>
      <c r="H71" s="172">
        <v>0</v>
      </c>
      <c r="I71" s="172">
        <v>17.2405</v>
      </c>
      <c r="J71" s="172">
        <v>0</v>
      </c>
      <c r="K71" s="106">
        <f>SUM(L71:Q71)</f>
        <v>16659732</v>
      </c>
      <c r="L71" s="106">
        <v>12641320</v>
      </c>
      <c r="M71" s="106">
        <v>0</v>
      </c>
      <c r="N71" s="106">
        <v>3511889</v>
      </c>
      <c r="O71" s="106">
        <v>0</v>
      </c>
      <c r="P71" s="106">
        <v>506523</v>
      </c>
      <c r="Q71" s="106">
        <v>0</v>
      </c>
      <c r="R71" s="100" t="inlineStr">
        <is>
          <t xml:space="preserve"/>
        </is>
      </c>
      <c r="T71">
        <v>0</v>
      </c>
    </row>
    <row r="72">
      <c r="B72" s="98" t="inlineStr">
        <is>
          <t xml:space="preserve">   D1-1  CCTV 모니터링 (정문 초소 겸무)</t>
        </is>
      </c>
      <c r="C72" s="99">
        <v>29379.7197</v>
      </c>
      <c r="D72" s="171">
        <f>SUM(E72:J72)</f>
        <v>419.52</v>
      </c>
      <c r="E72" s="171">
        <v>282.745</v>
      </c>
      <c r="F72" s="171">
        <v>0</v>
      </c>
      <c r="G72" s="171">
        <v>119.5345</v>
      </c>
      <c r="H72" s="171">
        <v>0</v>
      </c>
      <c r="I72" s="171">
        <v>17.2405</v>
      </c>
      <c r="J72" s="171">
        <v>0</v>
      </c>
      <c r="K72" s="99">
        <f>SUM(L72:Q72)</f>
        <v>12325380</v>
      </c>
      <c r="L72" s="99">
        <v>8306968</v>
      </c>
      <c r="M72" s="99">
        <v>0</v>
      </c>
      <c r="N72" s="99">
        <v>3511889</v>
      </c>
      <c r="O72" s="99">
        <v>0</v>
      </c>
      <c r="P72" s="99">
        <v>506523</v>
      </c>
      <c r="Q72" s="99">
        <v>0</v>
      </c>
      <c r="R72" s="100" t="inlineStr">
        <is>
          <t xml:space="preserve"/>
        </is>
      </c>
      <c r="T72">
        <v>1</v>
      </c>
    </row>
    <row r="73">
      <c r="B73" s="98" t="inlineStr">
        <is>
          <t xml:space="preserve">   D1-2  CCTV 녹화 상태·카메라 점검</t>
        </is>
      </c>
      <c r="C73" s="99">
        <v>29379.788</v>
      </c>
      <c r="D73" s="171">
        <f>SUM(E73:J73)</f>
        <v>119.9286</v>
      </c>
      <c r="E73" s="171">
        <v>119.9286</v>
      </c>
      <c r="F73" s="171">
        <v>0</v>
      </c>
      <c r="G73" s="171">
        <v>0</v>
      </c>
      <c r="H73" s="171">
        <v>0</v>
      </c>
      <c r="I73" s="171">
        <v>0</v>
      </c>
      <c r="J73" s="171">
        <v>0</v>
      </c>
      <c r="K73" s="99">
        <f>SUM(L73:Q73)</f>
        <v>3523476</v>
      </c>
      <c r="L73" s="99">
        <v>3523476</v>
      </c>
      <c r="M73" s="99">
        <v>0</v>
      </c>
      <c r="N73" s="99">
        <v>0</v>
      </c>
      <c r="O73" s="99">
        <v>0</v>
      </c>
      <c r="P73" s="99">
        <v>0</v>
      </c>
      <c r="Q73" s="99">
        <v>0</v>
      </c>
      <c r="R73" s="100" t="inlineStr">
        <is>
          <t xml:space="preserve"/>
        </is>
      </c>
      <c r="T73">
        <v>1</v>
      </c>
    </row>
    <row r="74">
      <c r="B74" s="98" t="inlineStr">
        <is>
          <t xml:space="preserve">   D1-3  영상 열람·반출 요청 처리</t>
        </is>
      </c>
      <c r="C74" s="99">
        <v>29379.5652</v>
      </c>
      <c r="D74" s="171">
        <f>SUM(E74:J74)</f>
        <v>27.6</v>
      </c>
      <c r="E74" s="171">
        <v>27.6</v>
      </c>
      <c r="F74" s="171">
        <v>0</v>
      </c>
      <c r="G74" s="171">
        <v>0</v>
      </c>
      <c r="H74" s="171">
        <v>0</v>
      </c>
      <c r="I74" s="171">
        <v>0</v>
      </c>
      <c r="J74" s="171">
        <v>0</v>
      </c>
      <c r="K74" s="99">
        <f>SUM(L74:Q74)</f>
        <v>810876</v>
      </c>
      <c r="L74" s="99">
        <v>810876</v>
      </c>
      <c r="M74" s="99">
        <v>0</v>
      </c>
      <c r="N74" s="99">
        <v>0</v>
      </c>
      <c r="O74" s="99">
        <v>0</v>
      </c>
      <c r="P74" s="99">
        <v>0</v>
      </c>
      <c r="Q74" s="99">
        <v>0</v>
      </c>
      <c r="R74" s="100" t="inlineStr">
        <is>
          <t xml:space="preserve"/>
        </is>
      </c>
      <c r="T74">
        <v>1</v>
      </c>
    </row>
    <row r="75" ht="17" customHeight="1">
      <c r="B75" s="105" t="inlineStr">
        <is>
          <t xml:space="preserve">D2  방재·설비 감시</t>
        </is>
      </c>
      <c r="C75" s="106">
        <v>29379.7483</v>
      </c>
      <c r="D75" s="172">
        <f>SUM(E75:J75)</f>
        <v>384.56</v>
      </c>
      <c r="E75" s="172">
        <v>259.1829</v>
      </c>
      <c r="F75" s="172">
        <v>0</v>
      </c>
      <c r="G75" s="172">
        <v>109.5733</v>
      </c>
      <c r="H75" s="172">
        <v>0</v>
      </c>
      <c r="I75" s="172">
        <v>15.8038</v>
      </c>
      <c r="J75" s="172">
        <v>0</v>
      </c>
      <c r="K75" s="106">
        <f>SUM(L75:Q75)</f>
        <v>11298276</v>
      </c>
      <c r="L75" s="106">
        <v>7614728</v>
      </c>
      <c r="M75" s="106">
        <v>0</v>
      </c>
      <c r="N75" s="106">
        <v>3219235</v>
      </c>
      <c r="O75" s="106">
        <v>0</v>
      </c>
      <c r="P75" s="106">
        <v>464313</v>
      </c>
      <c r="Q75" s="106">
        <v>0</v>
      </c>
      <c r="R75" s="100" t="inlineStr">
        <is>
          <t xml:space="preserve"/>
        </is>
      </c>
      <c r="T75">
        <v>0</v>
      </c>
    </row>
    <row r="76">
      <c r="B76" s="98" t="inlineStr">
        <is>
          <t xml:space="preserve">   D2-1  화재수신기·방재반 감시 기록</t>
        </is>
      </c>
      <c r="C76" s="99">
        <v>29379.7483</v>
      </c>
      <c r="D76" s="171">
        <f>SUM(E76:J76)</f>
        <v>209.76</v>
      </c>
      <c r="E76" s="171">
        <v>141.3725</v>
      </c>
      <c r="F76" s="171">
        <v>0</v>
      </c>
      <c r="G76" s="171">
        <v>59.7672</v>
      </c>
      <c r="H76" s="171">
        <v>0</v>
      </c>
      <c r="I76" s="171">
        <v>8.6203</v>
      </c>
      <c r="J76" s="171">
        <v>0</v>
      </c>
      <c r="K76" s="99">
        <f>SUM(L76:Q76)</f>
        <v>6162696</v>
      </c>
      <c r="L76" s="99">
        <v>4153488</v>
      </c>
      <c r="M76" s="99">
        <v>0</v>
      </c>
      <c r="N76" s="99">
        <v>1755946</v>
      </c>
      <c r="O76" s="99">
        <v>0</v>
      </c>
      <c r="P76" s="99">
        <v>253262</v>
      </c>
      <c r="Q76" s="99">
        <v>0</v>
      </c>
      <c r="R76" s="100" t="inlineStr">
        <is>
          <t xml:space="preserve"/>
        </is>
      </c>
      <c r="T76">
        <v>1</v>
      </c>
    </row>
    <row r="77">
      <c r="B77" s="98" t="inlineStr">
        <is>
          <t xml:space="preserve">   D2-2  무인경비·침입감지 알람 확인</t>
        </is>
      </c>
      <c r="C77" s="99">
        <v>29379.7483</v>
      </c>
      <c r="D77" s="171">
        <f>SUM(E77:J77)</f>
        <v>139.84</v>
      </c>
      <c r="E77" s="171">
        <v>94.2483</v>
      </c>
      <c r="F77" s="171">
        <v>0</v>
      </c>
      <c r="G77" s="171">
        <v>39.8448</v>
      </c>
      <c r="H77" s="171">
        <v>0</v>
      </c>
      <c r="I77" s="171">
        <v>5.7468</v>
      </c>
      <c r="J77" s="171">
        <v>0</v>
      </c>
      <c r="K77" s="99">
        <f>SUM(L77:Q77)</f>
        <v>4108464</v>
      </c>
      <c r="L77" s="99">
        <v>2768992</v>
      </c>
      <c r="M77" s="99">
        <v>0</v>
      </c>
      <c r="N77" s="99">
        <v>1170631</v>
      </c>
      <c r="O77" s="99">
        <v>0</v>
      </c>
      <c r="P77" s="99">
        <v>168841</v>
      </c>
      <c r="Q77" s="99">
        <v>0</v>
      </c>
      <c r="R77" s="100" t="inlineStr">
        <is>
          <t xml:space="preserve"/>
        </is>
      </c>
      <c r="T77">
        <v>1</v>
      </c>
    </row>
    <row r="78">
      <c r="B78" s="98" t="inlineStr">
        <is>
          <t xml:space="preserve">   D2-3  비상방송·안내방송 송출</t>
        </is>
      </c>
      <c r="C78" s="99">
        <v>29379.7483</v>
      </c>
      <c r="D78" s="171">
        <f>SUM(E78:J78)</f>
        <v>34.96</v>
      </c>
      <c r="E78" s="171">
        <v>23.5621</v>
      </c>
      <c r="F78" s="171">
        <v>0</v>
      </c>
      <c r="G78" s="171">
        <v>9.9612</v>
      </c>
      <c r="H78" s="171">
        <v>0</v>
      </c>
      <c r="I78" s="171">
        <v>1.4367</v>
      </c>
      <c r="J78" s="171">
        <v>0</v>
      </c>
      <c r="K78" s="99">
        <f>SUM(L78:Q78)</f>
        <v>1027116</v>
      </c>
      <c r="L78" s="99">
        <v>692248</v>
      </c>
      <c r="M78" s="99">
        <v>0</v>
      </c>
      <c r="N78" s="99">
        <v>292658</v>
      </c>
      <c r="O78" s="99">
        <v>0</v>
      </c>
      <c r="P78" s="99">
        <v>42210</v>
      </c>
      <c r="Q78" s="99">
        <v>0</v>
      </c>
      <c r="R78" s="100" t="inlineStr">
        <is>
          <t xml:space="preserve"/>
        </is>
      </c>
      <c r="T78">
        <v>1</v>
      </c>
    </row>
    <row r="79" ht="17" customHeight="1">
      <c r="B79" s="105" t="inlineStr">
        <is>
          <t xml:space="preserve">D3  소방시설 일상점검</t>
        </is>
      </c>
      <c r="C79" s="106">
        <v>29379.6188</v>
      </c>
      <c r="D79" s="172">
        <f>SUM(E79:J79)</f>
        <v>73.0086</v>
      </c>
      <c r="E79" s="172">
        <v>73.0086</v>
      </c>
      <c r="F79" s="172">
        <v>0</v>
      </c>
      <c r="G79" s="172">
        <v>0</v>
      </c>
      <c r="H79" s="172">
        <v>0</v>
      </c>
      <c r="I79" s="172">
        <v>0</v>
      </c>
      <c r="J79" s="172">
        <v>0</v>
      </c>
      <c r="K79" s="106">
        <f>SUM(L79:Q79)</f>
        <v>2144964</v>
      </c>
      <c r="L79" s="106">
        <v>2144964</v>
      </c>
      <c r="M79" s="106">
        <v>0</v>
      </c>
      <c r="N79" s="106">
        <v>0</v>
      </c>
      <c r="O79" s="106">
        <v>0</v>
      </c>
      <c r="P79" s="106">
        <v>0</v>
      </c>
      <c r="Q79" s="106">
        <v>0</v>
      </c>
      <c r="R79" s="100" t="inlineStr">
        <is>
          <t xml:space="preserve"/>
        </is>
      </c>
      <c r="T79">
        <v>0</v>
      </c>
    </row>
    <row r="80">
      <c r="B80" s="98" t="inlineStr">
        <is>
          <t xml:space="preserve">   D3-1  소화기·옥내소화전 외관 점검</t>
        </is>
      </c>
      <c r="C80" s="99">
        <v>29379.3391</v>
      </c>
      <c r="D80" s="171">
        <f>SUM(E80:J80)</f>
        <v>28.75</v>
      </c>
      <c r="E80" s="171">
        <v>28.75</v>
      </c>
      <c r="F80" s="171">
        <v>0</v>
      </c>
      <c r="G80" s="171">
        <v>0</v>
      </c>
      <c r="H80" s="171">
        <v>0</v>
      </c>
      <c r="I80" s="171">
        <v>0</v>
      </c>
      <c r="J80" s="171">
        <v>0</v>
      </c>
      <c r="K80" s="99">
        <f>SUM(L80:Q80)</f>
        <v>844656</v>
      </c>
      <c r="L80" s="99">
        <v>844656</v>
      </c>
      <c r="M80" s="99">
        <v>0</v>
      </c>
      <c r="N80" s="99">
        <v>0</v>
      </c>
      <c r="O80" s="99">
        <v>0</v>
      </c>
      <c r="P80" s="99">
        <v>0</v>
      </c>
      <c r="Q80" s="99">
        <v>0</v>
      </c>
      <c r="R80" s="100" t="inlineStr">
        <is>
          <t xml:space="preserve"/>
        </is>
      </c>
      <c r="T80">
        <v>1</v>
      </c>
    </row>
    <row r="81">
      <c r="B81" s="98" t="inlineStr">
        <is>
          <t xml:space="preserve">   D3-2  방화문·피난통로 적치물 확인</t>
        </is>
      </c>
      <c r="C81" s="99">
        <v>29379.8213</v>
      </c>
      <c r="D81" s="171">
        <f>SUM(E81:J81)</f>
        <v>35.9786</v>
      </c>
      <c r="E81" s="171">
        <v>35.9786</v>
      </c>
      <c r="F81" s="171">
        <v>0</v>
      </c>
      <c r="G81" s="171">
        <v>0</v>
      </c>
      <c r="H81" s="171">
        <v>0</v>
      </c>
      <c r="I81" s="171">
        <v>0</v>
      </c>
      <c r="J81" s="171">
        <v>0</v>
      </c>
      <c r="K81" s="99">
        <f>SUM(L81:Q81)</f>
        <v>1057044</v>
      </c>
      <c r="L81" s="99">
        <v>1057044</v>
      </c>
      <c r="M81" s="99">
        <v>0</v>
      </c>
      <c r="N81" s="99">
        <v>0</v>
      </c>
      <c r="O81" s="99">
        <v>0</v>
      </c>
      <c r="P81" s="99">
        <v>0</v>
      </c>
      <c r="Q81" s="99">
        <v>0</v>
      </c>
      <c r="R81" s="100" t="inlineStr">
        <is>
          <t xml:space="preserve"/>
        </is>
      </c>
      <c r="T81">
        <v>1</v>
      </c>
    </row>
    <row r="82">
      <c r="B82" s="98" t="inlineStr">
        <is>
          <t xml:space="preserve">   D3-3  유도등·비상조명 점등 확인</t>
        </is>
      </c>
      <c r="C82" s="99">
        <v>29379.7101</v>
      </c>
      <c r="D82" s="171">
        <f>SUM(E82:J82)</f>
        <v>8.28</v>
      </c>
      <c r="E82" s="171">
        <v>8.28</v>
      </c>
      <c r="F82" s="171">
        <v>0</v>
      </c>
      <c r="G82" s="171">
        <v>0</v>
      </c>
      <c r="H82" s="171">
        <v>0</v>
      </c>
      <c r="I82" s="171">
        <v>0</v>
      </c>
      <c r="J82" s="171">
        <v>0</v>
      </c>
      <c r="K82" s="99">
        <f>SUM(L82:Q82)</f>
        <v>243264</v>
      </c>
      <c r="L82" s="99">
        <v>243264</v>
      </c>
      <c r="M82" s="99">
        <v>0</v>
      </c>
      <c r="N82" s="99">
        <v>0</v>
      </c>
      <c r="O82" s="99">
        <v>0</v>
      </c>
      <c r="P82" s="99">
        <v>0</v>
      </c>
      <c r="Q82" s="99">
        <v>0</v>
      </c>
      <c r="R82" s="100" t="inlineStr">
        <is>
          <t xml:space="preserve"/>
        </is>
      </c>
      <c r="T82">
        <v>1</v>
      </c>
    </row>
    <row r="83" ht="17" customHeight="1">
      <c r="B83" s="105" t="inlineStr">
        <is>
          <t xml:space="preserve">E  고객사 업무 지원</t>
        </is>
      </c>
      <c r="C83" s="106">
        <v>29379.7545</v>
      </c>
      <c r="D83" s="172">
        <f>SUM(E83:J83)</f>
        <v>1423.6726</v>
      </c>
      <c r="E83" s="172">
        <v>1195.7143</v>
      </c>
      <c r="F83" s="172">
        <v>0</v>
      </c>
      <c r="G83" s="172">
        <v>199.2241</v>
      </c>
      <c r="H83" s="172">
        <v>0</v>
      </c>
      <c r="I83" s="172">
        <v>28.7342</v>
      </c>
      <c r="J83" s="172">
        <v>0</v>
      </c>
      <c r="K83" s="106">
        <f>SUM(L83:Q83)</f>
        <v>41827152</v>
      </c>
      <c r="L83" s="106">
        <v>35129792</v>
      </c>
      <c r="M83" s="106">
        <v>0</v>
      </c>
      <c r="N83" s="106">
        <v>5853154</v>
      </c>
      <c r="O83" s="106">
        <v>0</v>
      </c>
      <c r="P83" s="106">
        <v>844206</v>
      </c>
      <c r="Q83" s="106">
        <v>0</v>
      </c>
      <c r="R83" s="100" t="inlineStr">
        <is>
          <t xml:space="preserve"/>
        </is>
      </c>
      <c r="T83">
        <v>0</v>
      </c>
    </row>
    <row r="84" ht="17" customHeight="1">
      <c r="B84" s="105" t="inlineStr">
        <is>
          <t xml:space="preserve">E1  안내·의전</t>
        </is>
      </c>
      <c r="C84" s="106">
        <v>29379.7693</v>
      </c>
      <c r="D84" s="172">
        <f>SUM(E84:J84)</f>
        <v>112.7</v>
      </c>
      <c r="E84" s="172">
        <v>112.7</v>
      </c>
      <c r="F84" s="172">
        <v>0</v>
      </c>
      <c r="G84" s="172">
        <v>0</v>
      </c>
      <c r="H84" s="172">
        <v>0</v>
      </c>
      <c r="I84" s="172">
        <v>0</v>
      </c>
      <c r="J84" s="172">
        <v>0</v>
      </c>
      <c r="K84" s="106">
        <f>SUM(L84:Q84)</f>
        <v>3311100</v>
      </c>
      <c r="L84" s="106">
        <v>3311100</v>
      </c>
      <c r="M84" s="106">
        <v>0</v>
      </c>
      <c r="N84" s="106">
        <v>0</v>
      </c>
      <c r="O84" s="106">
        <v>0</v>
      </c>
      <c r="P84" s="106">
        <v>0</v>
      </c>
      <c r="Q84" s="106">
        <v>0</v>
      </c>
      <c r="R84" s="100" t="inlineStr">
        <is>
          <t xml:space="preserve"/>
        </is>
      </c>
      <c r="T84">
        <v>0</v>
      </c>
    </row>
    <row r="85">
      <c r="B85" s="98" t="inlineStr">
        <is>
          <t xml:space="preserve">   E1-1  VIP·귀빈 영접 및 차량 안내</t>
        </is>
      </c>
      <c r="C85" s="99">
        <v>29379.7826</v>
      </c>
      <c r="D85" s="171">
        <f>SUM(E85:J85)</f>
        <v>36.8</v>
      </c>
      <c r="E85" s="171">
        <v>36.8</v>
      </c>
      <c r="F85" s="171">
        <v>0</v>
      </c>
      <c r="G85" s="171">
        <v>0</v>
      </c>
      <c r="H85" s="171">
        <v>0</v>
      </c>
      <c r="I85" s="171">
        <v>0</v>
      </c>
      <c r="J85" s="171">
        <v>0</v>
      </c>
      <c r="K85" s="99">
        <f>SUM(L85:Q85)</f>
        <v>1081176</v>
      </c>
      <c r="L85" s="99">
        <v>1081176</v>
      </c>
      <c r="M85" s="99">
        <v>0</v>
      </c>
      <c r="N85" s="99">
        <v>0</v>
      </c>
      <c r="O85" s="99">
        <v>0</v>
      </c>
      <c r="P85" s="99">
        <v>0</v>
      </c>
      <c r="Q85" s="99">
        <v>0</v>
      </c>
      <c r="R85" s="100" t="inlineStr">
        <is>
          <t xml:space="preserve"/>
        </is>
      </c>
      <c r="T85">
        <v>1</v>
      </c>
    </row>
    <row r="86">
      <c r="B86" s="98" t="inlineStr">
        <is>
          <t xml:space="preserve">   E1-2  회의·행사장 출입 통제</t>
        </is>
      </c>
      <c r="C86" s="99">
        <v>29379.7826</v>
      </c>
      <c r="D86" s="171">
        <f>SUM(E86:J86)</f>
        <v>55.2</v>
      </c>
      <c r="E86" s="171">
        <v>55.2</v>
      </c>
      <c r="F86" s="171">
        <v>0</v>
      </c>
      <c r="G86" s="171">
        <v>0</v>
      </c>
      <c r="H86" s="171">
        <v>0</v>
      </c>
      <c r="I86" s="171">
        <v>0</v>
      </c>
      <c r="J86" s="171">
        <v>0</v>
      </c>
      <c r="K86" s="99">
        <f>SUM(L86:Q86)</f>
        <v>1621764</v>
      </c>
      <c r="L86" s="99">
        <v>1621764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100" t="inlineStr">
        <is>
          <t xml:space="preserve"/>
        </is>
      </c>
      <c r="T86">
        <v>1</v>
      </c>
    </row>
    <row r="87">
      <c r="B87" s="98" t="inlineStr">
        <is>
          <t xml:space="preserve">   E1-3  행사 주차 안내·교통 정리</t>
        </is>
      </c>
      <c r="C87" s="99">
        <v>29379.7101</v>
      </c>
      <c r="D87" s="171">
        <f>SUM(E87:J87)</f>
        <v>20.7</v>
      </c>
      <c r="E87" s="171">
        <v>20.7</v>
      </c>
      <c r="F87" s="171">
        <v>0</v>
      </c>
      <c r="G87" s="171">
        <v>0</v>
      </c>
      <c r="H87" s="171">
        <v>0</v>
      </c>
      <c r="I87" s="171">
        <v>0</v>
      </c>
      <c r="J87" s="171">
        <v>0</v>
      </c>
      <c r="K87" s="99">
        <f>SUM(L87:Q87)</f>
        <v>608160</v>
      </c>
      <c r="L87" s="99">
        <v>608160</v>
      </c>
      <c r="M87" s="99">
        <v>0</v>
      </c>
      <c r="N87" s="99">
        <v>0</v>
      </c>
      <c r="O87" s="99">
        <v>0</v>
      </c>
      <c r="P87" s="99">
        <v>0</v>
      </c>
      <c r="Q87" s="99">
        <v>0</v>
      </c>
      <c r="R87" s="100" t="inlineStr">
        <is>
          <t xml:space="preserve"/>
        </is>
      </c>
      <c r="T87">
        <v>1</v>
      </c>
    </row>
    <row r="88" ht="17" customHeight="1">
      <c r="B88" s="105" t="inlineStr">
        <is>
          <t xml:space="preserve">E2  행정 지원</t>
        </is>
      </c>
      <c r="C88" s="106">
        <v>29379.7514</v>
      </c>
      <c r="D88" s="172">
        <f>SUM(E88:J88)</f>
        <v>614.56</v>
      </c>
      <c r="E88" s="172">
        <v>432.1933</v>
      </c>
      <c r="F88" s="172">
        <v>0</v>
      </c>
      <c r="G88" s="172">
        <v>159.3793</v>
      </c>
      <c r="H88" s="172">
        <v>0</v>
      </c>
      <c r="I88" s="172">
        <v>22.9874</v>
      </c>
      <c r="J88" s="172">
        <v>0</v>
      </c>
      <c r="K88" s="106">
        <f>SUM(L88:Q88)</f>
        <v>18055620</v>
      </c>
      <c r="L88" s="106">
        <v>12697732</v>
      </c>
      <c r="M88" s="106">
        <v>0</v>
      </c>
      <c r="N88" s="106">
        <v>4682523</v>
      </c>
      <c r="O88" s="106">
        <v>0</v>
      </c>
      <c r="P88" s="106">
        <v>675365</v>
      </c>
      <c r="Q88" s="106">
        <v>0</v>
      </c>
      <c r="R88" s="100" t="inlineStr">
        <is>
          <t xml:space="preserve"/>
        </is>
      </c>
      <c r="T88">
        <v>0</v>
      </c>
    </row>
    <row r="89">
      <c r="B89" s="98" t="inlineStr">
        <is>
          <t xml:space="preserve">   E2-1  열쇠·출입카드 보관·대여 관리</t>
        </is>
      </c>
      <c r="C89" s="99">
        <v>29379.7483</v>
      </c>
      <c r="D89" s="171">
        <f>SUM(E89:J89)</f>
        <v>279.68</v>
      </c>
      <c r="E89" s="171">
        <v>188.4967</v>
      </c>
      <c r="F89" s="171">
        <v>0</v>
      </c>
      <c r="G89" s="171">
        <v>79.6896</v>
      </c>
      <c r="H89" s="171">
        <v>0</v>
      </c>
      <c r="I89" s="171">
        <v>11.4937</v>
      </c>
      <c r="J89" s="171">
        <v>0</v>
      </c>
      <c r="K89" s="99">
        <f>SUM(L89:Q89)</f>
        <v>8216928</v>
      </c>
      <c r="L89" s="99">
        <v>5537984</v>
      </c>
      <c r="M89" s="99">
        <v>0</v>
      </c>
      <c r="N89" s="99">
        <v>2341262</v>
      </c>
      <c r="O89" s="99">
        <v>0</v>
      </c>
      <c r="P89" s="99">
        <v>337682</v>
      </c>
      <c r="Q89" s="99">
        <v>0</v>
      </c>
      <c r="R89" s="100" t="inlineStr">
        <is>
          <t xml:space="preserve"/>
        </is>
      </c>
      <c r="T89">
        <v>1</v>
      </c>
    </row>
    <row r="90">
      <c r="B90" s="98" t="inlineStr">
        <is>
          <t xml:space="preserve">   E2-2  분실물·습득물 접수·보관·반환</t>
        </is>
      </c>
      <c r="C90" s="99">
        <v>29379.7483</v>
      </c>
      <c r="D90" s="171">
        <f>SUM(E90:J90)</f>
        <v>69.92</v>
      </c>
      <c r="E90" s="171">
        <v>47.1242</v>
      </c>
      <c r="F90" s="171">
        <v>0</v>
      </c>
      <c r="G90" s="171">
        <v>19.9224</v>
      </c>
      <c r="H90" s="171">
        <v>0</v>
      </c>
      <c r="I90" s="171">
        <v>2.8734</v>
      </c>
      <c r="J90" s="171">
        <v>0</v>
      </c>
      <c r="K90" s="99">
        <f>SUM(L90:Q90)</f>
        <v>2054232</v>
      </c>
      <c r="L90" s="99">
        <v>1384496</v>
      </c>
      <c r="M90" s="99">
        <v>0</v>
      </c>
      <c r="N90" s="99">
        <v>585315</v>
      </c>
      <c r="O90" s="99">
        <v>0</v>
      </c>
      <c r="P90" s="99">
        <v>84421</v>
      </c>
      <c r="Q90" s="99">
        <v>0</v>
      </c>
      <c r="R90" s="100" t="inlineStr">
        <is>
          <t xml:space="preserve"/>
        </is>
      </c>
      <c r="T90">
        <v>1</v>
      </c>
    </row>
    <row r="91">
      <c r="B91" s="98" t="inlineStr">
        <is>
          <t xml:space="preserve">   E2-3  공지문·게시물 부착·회수</t>
        </is>
      </c>
      <c r="C91" s="99">
        <v>29379.7826</v>
      </c>
      <c r="D91" s="171">
        <f>SUM(E91:J91)</f>
        <v>55.2</v>
      </c>
      <c r="E91" s="171">
        <v>55.2</v>
      </c>
      <c r="F91" s="171">
        <v>0</v>
      </c>
      <c r="G91" s="171">
        <v>0</v>
      </c>
      <c r="H91" s="171">
        <v>0</v>
      </c>
      <c r="I91" s="171">
        <v>0</v>
      </c>
      <c r="J91" s="171">
        <v>0</v>
      </c>
      <c r="K91" s="99">
        <f>SUM(L91:Q91)</f>
        <v>1621764</v>
      </c>
      <c r="L91" s="99">
        <v>1621764</v>
      </c>
      <c r="M91" s="99">
        <v>0</v>
      </c>
      <c r="N91" s="99">
        <v>0</v>
      </c>
      <c r="O91" s="99">
        <v>0</v>
      </c>
      <c r="P91" s="99">
        <v>0</v>
      </c>
      <c r="Q91" s="99">
        <v>0</v>
      </c>
      <c r="R91" s="100" t="inlineStr">
        <is>
          <t xml:space="preserve"/>
        </is>
      </c>
      <c r="T91">
        <v>1</v>
      </c>
    </row>
    <row r="92">
      <c r="B92" s="98" t="inlineStr">
        <is>
          <t xml:space="preserve">   E2-4  고객사 요청 문서·물품 전달</t>
        </is>
      </c>
      <c r="C92" s="99">
        <v>29379.7483</v>
      </c>
      <c r="D92" s="171">
        <f>SUM(E92:J92)</f>
        <v>209.76</v>
      </c>
      <c r="E92" s="171">
        <v>141.3725</v>
      </c>
      <c r="F92" s="171">
        <v>0</v>
      </c>
      <c r="G92" s="171">
        <v>59.7672</v>
      </c>
      <c r="H92" s="171">
        <v>0</v>
      </c>
      <c r="I92" s="171">
        <v>8.6203</v>
      </c>
      <c r="J92" s="171">
        <v>0</v>
      </c>
      <c r="K92" s="99">
        <f>SUM(L92:Q92)</f>
        <v>6162696</v>
      </c>
      <c r="L92" s="99">
        <v>4153488</v>
      </c>
      <c r="M92" s="99">
        <v>0</v>
      </c>
      <c r="N92" s="99">
        <v>1755946</v>
      </c>
      <c r="O92" s="99">
        <v>0</v>
      </c>
      <c r="P92" s="99">
        <v>253262</v>
      </c>
      <c r="Q92" s="99">
        <v>0</v>
      </c>
      <c r="R92" s="100" t="inlineStr">
        <is>
          <t xml:space="preserve"/>
        </is>
      </c>
      <c r="T92">
        <v>1</v>
      </c>
    </row>
    <row r="93" ht="17" customHeight="1">
      <c r="B93" s="105" t="inlineStr">
        <is>
          <t xml:space="preserve">E3  시설·환경 지원</t>
        </is>
      </c>
      <c r="C93" s="106">
        <v>29379.801</v>
      </c>
      <c r="D93" s="172">
        <f>SUM(E93:J93)</f>
        <v>146.74</v>
      </c>
      <c r="E93" s="172">
        <v>101.1483</v>
      </c>
      <c r="F93" s="172">
        <v>0</v>
      </c>
      <c r="G93" s="172">
        <v>39.8448</v>
      </c>
      <c r="H93" s="172">
        <v>0</v>
      </c>
      <c r="I93" s="172">
        <v>5.7468</v>
      </c>
      <c r="J93" s="172">
        <v>0</v>
      </c>
      <c r="K93" s="106">
        <f>SUM(L93:Q93)</f>
        <v>4311192</v>
      </c>
      <c r="L93" s="106">
        <v>2971720</v>
      </c>
      <c r="M93" s="106">
        <v>0</v>
      </c>
      <c r="N93" s="106">
        <v>1170631</v>
      </c>
      <c r="O93" s="106">
        <v>0</v>
      </c>
      <c r="P93" s="106">
        <v>168841</v>
      </c>
      <c r="Q93" s="106">
        <v>0</v>
      </c>
      <c r="R93" s="100" t="inlineStr">
        <is>
          <t xml:space="preserve"/>
        </is>
      </c>
      <c r="T93">
        <v>0</v>
      </c>
    </row>
    <row r="94">
      <c r="B94" s="98" t="inlineStr">
        <is>
          <t xml:space="preserve">   E3-1  제설·염화칼슘 살포 지원</t>
        </is>
      </c>
      <c r="C94" s="99">
        <v>29380.8696</v>
      </c>
      <c r="D94" s="171">
        <f>SUM(E94:J94)</f>
        <v>6.9</v>
      </c>
      <c r="E94" s="171">
        <v>6.9</v>
      </c>
      <c r="F94" s="171">
        <v>0</v>
      </c>
      <c r="G94" s="171">
        <v>0</v>
      </c>
      <c r="H94" s="171">
        <v>0</v>
      </c>
      <c r="I94" s="171">
        <v>0</v>
      </c>
      <c r="J94" s="171">
        <v>0</v>
      </c>
      <c r="K94" s="99">
        <f>SUM(L94:Q94)</f>
        <v>202728</v>
      </c>
      <c r="L94" s="99">
        <v>202728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100" t="inlineStr">
        <is>
          <t xml:space="preserve"/>
        </is>
      </c>
      <c r="T94">
        <v>1</v>
      </c>
    </row>
    <row r="95">
      <c r="B95" s="98" t="inlineStr">
        <is>
          <t xml:space="preserve">   E3-2  시설 고장 접수·설비팀 연계</t>
        </is>
      </c>
      <c r="C95" s="99">
        <v>29379.7483</v>
      </c>
      <c r="D95" s="171">
        <f>SUM(E95:J95)</f>
        <v>139.84</v>
      </c>
      <c r="E95" s="171">
        <v>94.2483</v>
      </c>
      <c r="F95" s="171">
        <v>0</v>
      </c>
      <c r="G95" s="171">
        <v>39.8448</v>
      </c>
      <c r="H95" s="171">
        <v>0</v>
      </c>
      <c r="I95" s="171">
        <v>5.7468</v>
      </c>
      <c r="J95" s="171">
        <v>0</v>
      </c>
      <c r="K95" s="99">
        <f>SUM(L95:Q95)</f>
        <v>4108464</v>
      </c>
      <c r="L95" s="99">
        <v>2768992</v>
      </c>
      <c r="M95" s="99">
        <v>0</v>
      </c>
      <c r="N95" s="99">
        <v>1170631</v>
      </c>
      <c r="O95" s="99">
        <v>0</v>
      </c>
      <c r="P95" s="99">
        <v>168841</v>
      </c>
      <c r="Q95" s="99">
        <v>0</v>
      </c>
      <c r="R95" s="100" t="inlineStr">
        <is>
          <t xml:space="preserve"/>
        </is>
      </c>
      <c r="T95">
        <v>1</v>
      </c>
    </row>
    <row r="96" ht="17" customHeight="1">
      <c r="B96" s="105" t="inlineStr">
        <is>
          <t xml:space="preserve">E4  업종별 특수 지원</t>
        </is>
      </c>
      <c r="C96" s="106">
        <v>29379.7425</v>
      </c>
      <c r="D96" s="172">
        <f>SUM(E96:J96)</f>
        <v>549.6726</v>
      </c>
      <c r="E96" s="172">
        <v>549.6726</v>
      </c>
      <c r="F96" s="172">
        <v>0</v>
      </c>
      <c r="G96" s="172">
        <v>0</v>
      </c>
      <c r="H96" s="172">
        <v>0</v>
      </c>
      <c r="I96" s="172">
        <v>0</v>
      </c>
      <c r="J96" s="172">
        <v>0</v>
      </c>
      <c r="K96" s="106">
        <f>SUM(L96:Q96)</f>
        <v>16149240</v>
      </c>
      <c r="L96" s="106">
        <v>16149240</v>
      </c>
      <c r="M96" s="106">
        <v>0</v>
      </c>
      <c r="N96" s="106">
        <v>0</v>
      </c>
      <c r="O96" s="106">
        <v>0</v>
      </c>
      <c r="P96" s="106">
        <v>0</v>
      </c>
      <c r="Q96" s="106">
        <v>0</v>
      </c>
      <c r="R96" s="100" t="inlineStr">
        <is>
          <t xml:space="preserve"/>
        </is>
      </c>
      <c r="T96">
        <v>0</v>
      </c>
    </row>
    <row r="97">
      <c r="B97" s="98" t="inlineStr">
        <is>
          <t xml:space="preserve">   E4-1  출퇴근 통근버스 통제</t>
        </is>
      </c>
      <c r="C97" s="99">
        <v>29379.7279</v>
      </c>
      <c r="D97" s="171">
        <f>SUM(E97:J97)</f>
        <v>299.8214</v>
      </c>
      <c r="E97" s="171">
        <v>299.8214</v>
      </c>
      <c r="F97" s="171">
        <v>0</v>
      </c>
      <c r="G97" s="171">
        <v>0</v>
      </c>
      <c r="H97" s="171">
        <v>0</v>
      </c>
      <c r="I97" s="171">
        <v>0</v>
      </c>
      <c r="J97" s="171">
        <v>0</v>
      </c>
      <c r="K97" s="99">
        <f>SUM(L97:Q97)</f>
        <v>8808672</v>
      </c>
      <c r="L97" s="99">
        <v>8808672</v>
      </c>
      <c r="M97" s="99">
        <v>0</v>
      </c>
      <c r="N97" s="99">
        <v>0</v>
      </c>
      <c r="O97" s="99">
        <v>0</v>
      </c>
      <c r="P97" s="99">
        <v>0</v>
      </c>
      <c r="Q97" s="99">
        <v>0</v>
      </c>
      <c r="R97" s="100" t="inlineStr">
        <is>
          <t xml:space="preserve"/>
        </is>
      </c>
      <c r="T97">
        <v>1</v>
      </c>
    </row>
    <row r="98">
      <c r="B98" s="98" t="inlineStr">
        <is>
          <t xml:space="preserve">   E4-2  협력업체 작업허가서 확인</t>
        </is>
      </c>
      <c r="C98" s="99">
        <v>29379.76</v>
      </c>
      <c r="D98" s="171">
        <f>SUM(E98:J98)</f>
        <v>249.8512</v>
      </c>
      <c r="E98" s="171">
        <v>249.8512</v>
      </c>
      <c r="F98" s="171">
        <v>0</v>
      </c>
      <c r="G98" s="171">
        <v>0</v>
      </c>
      <c r="H98" s="171">
        <v>0</v>
      </c>
      <c r="I98" s="171">
        <v>0</v>
      </c>
      <c r="J98" s="171">
        <v>0</v>
      </c>
      <c r="K98" s="99">
        <f>SUM(L98:Q98)</f>
        <v>7340568</v>
      </c>
      <c r="L98" s="99">
        <v>7340568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100" t="inlineStr">
        <is>
          <t xml:space="preserve"/>
        </is>
      </c>
      <c r="T98">
        <v>1</v>
      </c>
    </row>
    <row r="99" ht="17" customHeight="1">
      <c r="B99" s="105" t="inlineStr">
        <is>
          <t xml:space="preserve">F  보고·행정·교육</t>
        </is>
      </c>
      <c r="C99" s="106">
        <v>29379.7327</v>
      </c>
      <c r="D99" s="172">
        <f>SUM(E99:J99)</f>
        <v>828.92</v>
      </c>
      <c r="E99" s="172">
        <v>578.1658</v>
      </c>
      <c r="F99" s="172">
        <v>0</v>
      </c>
      <c r="G99" s="172">
        <v>219.1465</v>
      </c>
      <c r="H99" s="172">
        <v>0</v>
      </c>
      <c r="I99" s="172">
        <v>31.6077</v>
      </c>
      <c r="J99" s="172">
        <v>0</v>
      </c>
      <c r="K99" s="106">
        <f>SUM(L99:Q99)</f>
        <v>24353448</v>
      </c>
      <c r="L99" s="106">
        <v>16986357</v>
      </c>
      <c r="M99" s="106">
        <v>0</v>
      </c>
      <c r="N99" s="106">
        <v>6438466</v>
      </c>
      <c r="O99" s="106">
        <v>0</v>
      </c>
      <c r="P99" s="106">
        <v>928625</v>
      </c>
      <c r="Q99" s="106">
        <v>0</v>
      </c>
      <c r="R99" s="100" t="inlineStr">
        <is>
          <t xml:space="preserve"/>
        </is>
      </c>
      <c r="T99">
        <v>0</v>
      </c>
    </row>
    <row r="100">
      <c r="B100" s="98" t="inlineStr">
        <is>
          <t xml:space="preserve">   F1  근무일지·인수인계</t>
        </is>
      </c>
      <c r="C100" s="99">
        <v>29379.7292</v>
      </c>
      <c r="D100" s="171">
        <f>SUM(E100:J100)</f>
        <v>629.28</v>
      </c>
      <c r="E100" s="171">
        <v>424.1175</v>
      </c>
      <c r="F100" s="171">
        <v>0</v>
      </c>
      <c r="G100" s="171">
        <v>179.3017</v>
      </c>
      <c r="H100" s="171">
        <v>0</v>
      </c>
      <c r="I100" s="171">
        <v>25.8608</v>
      </c>
      <c r="J100" s="171">
        <v>0</v>
      </c>
      <c r="K100" s="99">
        <f>SUM(L100:Q100)</f>
        <v>18488076</v>
      </c>
      <c r="L100" s="99">
        <v>12460457</v>
      </c>
      <c r="M100" s="99">
        <v>0</v>
      </c>
      <c r="N100" s="99">
        <v>5267835</v>
      </c>
      <c r="O100" s="99">
        <v>0</v>
      </c>
      <c r="P100" s="99">
        <v>759784</v>
      </c>
      <c r="Q100" s="99">
        <v>0</v>
      </c>
      <c r="R100" s="100" t="inlineStr">
        <is>
          <t xml:space="preserve"/>
        </is>
      </c>
      <c r="T100">
        <v>1</v>
      </c>
    </row>
    <row r="101">
      <c r="B101" s="98" t="inlineStr">
        <is>
          <t xml:space="preserve">   F2  사건·사고 보고서 작성</t>
        </is>
      </c>
      <c r="C101" s="99">
        <v>29379.7101</v>
      </c>
      <c r="D101" s="171">
        <f>SUM(E101:J101)</f>
        <v>41.4</v>
      </c>
      <c r="E101" s="171">
        <v>41.4</v>
      </c>
      <c r="F101" s="171">
        <v>0</v>
      </c>
      <c r="G101" s="171">
        <v>0</v>
      </c>
      <c r="H101" s="171">
        <v>0</v>
      </c>
      <c r="I101" s="171">
        <v>0</v>
      </c>
      <c r="J101" s="171">
        <v>0</v>
      </c>
      <c r="K101" s="99">
        <f>SUM(L101:Q101)</f>
        <v>1216320</v>
      </c>
      <c r="L101" s="99">
        <v>1216320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100" t="inlineStr">
        <is>
          <t xml:space="preserve"/>
        </is>
      </c>
      <c r="T101">
        <v>1</v>
      </c>
    </row>
    <row r="102">
      <c r="B102" s="98" t="inlineStr">
        <is>
          <t xml:space="preserve">   F3  고객사 일일 업무보고</t>
        </is>
      </c>
      <c r="C102" s="99">
        <v>29379.7483</v>
      </c>
      <c r="D102" s="171">
        <f>SUM(E102:J102)</f>
        <v>139.84</v>
      </c>
      <c r="E102" s="171">
        <v>94.2483</v>
      </c>
      <c r="F102" s="171">
        <v>0</v>
      </c>
      <c r="G102" s="171">
        <v>39.8448</v>
      </c>
      <c r="H102" s="171">
        <v>0</v>
      </c>
      <c r="I102" s="171">
        <v>5.7468</v>
      </c>
      <c r="J102" s="171">
        <v>0</v>
      </c>
      <c r="K102" s="99">
        <f>SUM(L102:Q102)</f>
        <v>4108464</v>
      </c>
      <c r="L102" s="99">
        <v>2768992</v>
      </c>
      <c r="M102" s="99">
        <v>0</v>
      </c>
      <c r="N102" s="99">
        <v>1170631</v>
      </c>
      <c r="O102" s="99">
        <v>0</v>
      </c>
      <c r="P102" s="99">
        <v>168841</v>
      </c>
      <c r="Q102" s="99">
        <v>0</v>
      </c>
      <c r="R102" s="100" t="inlineStr">
        <is>
          <t xml:space="preserve"/>
        </is>
      </c>
      <c r="T102">
        <v>1</v>
      </c>
    </row>
    <row r="103">
      <c r="B103" s="98" t="inlineStr">
        <is>
          <t xml:space="preserve">   F4  경비원 직무교육·소방훈련 참여</t>
        </is>
      </c>
      <c r="C103" s="99">
        <v>29379.7826</v>
      </c>
      <c r="D103" s="171">
        <f>SUM(E103:J103)</f>
        <v>18.4</v>
      </c>
      <c r="E103" s="171">
        <v>18.4</v>
      </c>
      <c r="F103" s="171">
        <v>0</v>
      </c>
      <c r="G103" s="171">
        <v>0</v>
      </c>
      <c r="H103" s="171">
        <v>0</v>
      </c>
      <c r="I103" s="171">
        <v>0</v>
      </c>
      <c r="J103" s="171">
        <v>0</v>
      </c>
      <c r="K103" s="99">
        <f>SUM(L103:Q103)</f>
        <v>540588</v>
      </c>
      <c r="L103" s="99">
        <v>540588</v>
      </c>
      <c r="M103" s="99">
        <v>0</v>
      </c>
      <c r="N103" s="99">
        <v>0</v>
      </c>
      <c r="O103" s="99">
        <v>0</v>
      </c>
      <c r="P103" s="99">
        <v>0</v>
      </c>
      <c r="Q103" s="99">
        <v>0</v>
      </c>
      <c r="R103" s="100" t="inlineStr">
        <is>
          <t xml:space="preserve"/>
        </is>
      </c>
      <c r="T103">
        <v>1</v>
      </c>
    </row>
    <row r="104" ht="20" customHeight="1">
      <c r="B104" s="148" t="inlineStr">
        <is>
          <t xml:space="preserve">소 계 (노무비)</t>
        </is>
      </c>
      <c r="C104" s="149">
        <v>29379.7436</v>
      </c>
      <c r="D104" s="173">
        <f>SUMIF($T$7:$T$103,1,D7:D103)</f>
        <v>21029.2768</v>
      </c>
      <c r="E104" s="173">
        <f>SUMIF($T$7:$T$103,1,E7:E103)</f>
        <v>14076.7049</v>
      </c>
      <c r="F104" s="173">
        <f>SUMIF($T$7:$T$103,1,F7:F103)</f>
        <v>1501.9632</v>
      </c>
      <c r="G104" s="173">
        <f>SUMIF($T$7:$T$103,1,G7:G103)</f>
        <v>4128.5808</v>
      </c>
      <c r="H104" s="173">
        <f>SUMIF($T$7:$T$103,1,H7:H103)</f>
        <v>634.9763</v>
      </c>
      <c r="I104" s="173">
        <f>SUMIF($T$7:$T$103,1,I7:I103)</f>
        <v>595.4684</v>
      </c>
      <c r="J104" s="173">
        <f>SUMIF($T$7:$T$103,1,J7:J103)</f>
        <v>91.5831</v>
      </c>
      <c r="K104" s="149">
        <f>SUMIF($T$7:$T$103,1,K7:K103)</f>
        <v>617834760</v>
      </c>
      <c r="L104" s="149">
        <f>SUMIF($T$7:$T$103,1,L7:L103)</f>
        <v>413569983</v>
      </c>
      <c r="M104" s="149">
        <f>SUMIF($T$7:$T$103,1,M7:M103)</f>
        <v>44127294</v>
      </c>
      <c r="N104" s="149">
        <f>SUMIF($T$7:$T$103,1,N7:N103)</f>
        <v>121296642</v>
      </c>
      <c r="O104" s="149">
        <f>SUMIF($T$7:$T$103,1,O7:O103)</f>
        <v>18655442</v>
      </c>
      <c r="P104" s="149">
        <f>SUMIF($T$7:$T$103,1,P7:P103)</f>
        <v>17494711</v>
      </c>
      <c r="Q104" s="149">
        <f>SUMIF($T$7:$T$103,1,Q7:Q103)</f>
        <v>2690688</v>
      </c>
      <c r="R104" s="148"/>
    </row>
    <row r="105">
      <c r="B105" s="98" t="inlineStr">
        <is>
          <t xml:space="preserve">경비 (피복·복리후생·교육·위험부담 등)</t>
        </is>
      </c>
      <c r="C105" s="98"/>
      <c r="D105" s="98"/>
      <c r="E105" s="98"/>
      <c r="F105" s="98"/>
      <c r="G105" s="98"/>
      <c r="H105" s="98"/>
      <c r="I105" s="98"/>
      <c r="J105" s="98"/>
      <c r="K105" s="99">
        <v>20737320</v>
      </c>
      <c r="L105" s="98"/>
      <c r="M105" s="98"/>
      <c r="N105" s="98"/>
      <c r="O105" s="98"/>
      <c r="P105" s="98"/>
      <c r="Q105" s="98"/>
      <c r="R105" s="98"/>
    </row>
    <row r="106">
      <c r="B106" s="98" t="inlineStr">
        <is>
          <t xml:space="preserve">일반관리비</t>
        </is>
      </c>
      <c r="C106" s="98"/>
      <c r="D106" s="98"/>
      <c r="E106" s="98"/>
      <c r="F106" s="98"/>
      <c r="G106" s="98"/>
      <c r="H106" s="98"/>
      <c r="I106" s="98"/>
      <c r="J106" s="98"/>
      <c r="K106" s="99">
        <v>31929480</v>
      </c>
      <c r="L106" s="98"/>
      <c r="M106" s="98"/>
      <c r="N106" s="98"/>
      <c r="O106" s="98"/>
      <c r="P106" s="98"/>
      <c r="Q106" s="98"/>
      <c r="R106" s="98"/>
    </row>
    <row r="107">
      <c r="B107" s="98" t="inlineStr">
        <is>
          <t xml:space="preserve">기업이윤 · 단수조정</t>
        </is>
      </c>
      <c r="C107" s="98"/>
      <c r="D107" s="98"/>
      <c r="E107" s="98"/>
      <c r="F107" s="98"/>
      <c r="G107" s="98"/>
      <c r="H107" s="98"/>
      <c r="I107" s="98"/>
      <c r="J107" s="98"/>
      <c r="K107" s="99">
        <v>12634440</v>
      </c>
      <c r="L107" s="98"/>
      <c r="M107" s="98"/>
      <c r="N107" s="98"/>
      <c r="O107" s="98"/>
      <c r="P107" s="98"/>
      <c r="Q107" s="98"/>
      <c r="R107" s="98"/>
    </row>
    <row r="108" ht="22" customHeight="1">
      <c r="B108" s="148" t="inlineStr">
        <is>
          <t xml:space="preserve">도급비 합계 (연 · VAT 별도)</t>
        </is>
      </c>
      <c r="C108" s="148"/>
      <c r="D108" s="148"/>
      <c r="E108" s="148"/>
      <c r="F108" s="148"/>
      <c r="G108" s="148"/>
      <c r="H108" s="148"/>
      <c r="I108" s="148"/>
      <c r="J108" s="148"/>
      <c r="K108" s="149">
        <f>SUM(K104:K107)</f>
        <v>683136000</v>
      </c>
      <c r="L108" s="148"/>
      <c r="M108" s="148"/>
      <c r="N108" s="148"/>
      <c r="O108" s="148"/>
      <c r="P108" s="148"/>
      <c r="Q108" s="148"/>
      <c r="R108" s="148" t="inlineStr">
        <is>
          <t xml:space="preserve">= 견적서 계약기간 총액</t>
        </is>
      </c>
    </row>
    <row r="109">
      <c r="B109" s="98" t="inlineStr">
        <is>
          <t xml:space="preserve">월 환산 (÷12)</t>
        </is>
      </c>
      <c r="C109" s="98"/>
      <c r="D109" s="98"/>
      <c r="E109" s="98"/>
      <c r="F109" s="98"/>
      <c r="G109" s="98"/>
      <c r="H109" s="98"/>
      <c r="I109" s="98"/>
      <c r="J109" s="98"/>
      <c r="K109" s="99">
        <f>K108/12</f>
        <v>56928000</v>
      </c>
      <c r="L109" s="98"/>
      <c r="M109" s="98"/>
      <c r="N109" s="98"/>
      <c r="O109" s="98"/>
      <c r="P109" s="98"/>
      <c r="Q109" s="98"/>
      <c r="R109" s="98"/>
    </row>
    <row r="110">
      <c r="B110" s="98" t="inlineStr">
        <is>
          <t xml:space="preserve">검증: 견적서 연 총액 · 차이</t>
        </is>
      </c>
      <c r="C110" s="98"/>
      <c r="D110" s="98"/>
      <c r="E110" s="98"/>
      <c r="F110" s="98"/>
      <c r="G110" s="98"/>
      <c r="H110" s="98"/>
      <c r="I110" s="98"/>
      <c r="J110" s="98"/>
      <c r="K110" s="99">
        <f>'견적서'!I34</f>
        <v>683136000</v>
      </c>
      <c r="L110" s="99">
        <f>K108-K110</f>
        <v>0</v>
      </c>
      <c r="M110" s="98"/>
      <c r="N110" s="98"/>
      <c r="O110" s="98"/>
      <c r="P110" s="98"/>
      <c r="Q110" s="98"/>
      <c r="R110" s="98"/>
    </row>
    <row r="112">
      <c r="B112" s="100" t="inlineStr">
        <is>
          <t xml:space="preserve">Work scope = 업무별 연간 업무시간을 평일·주말·공휴일 및 주간(06~22시)·야간(22~06시)으로 나눈 값입니다. 24시간 상주는 야간 8시간, 이름에 ‘야간’이 있는 업무는 전부 야간으로 봅니다.</t>
        </is>
      </c>
    </row>
    <row r="113">
      <c r="B113" s="100" t="inlineStr">
        <is>
          <t xml:space="preserve">Amount = 업무별 노무비(직접+간접) 연간 배분액을 같은 비율로 나눈 금액이며, 경비·일반관리비·이윤을 더한 도급비 합계는 견적서 계약기간 총액과 같습니다.</t>
        </is>
      </c>
    </row>
    <row r="114">
      <c r="B114" s="100" t="inlineStr">
        <is>
          <t xml:space="preserve">Produced by RatRae Choi – October 21, 2026 · Workload-Based Cost and Labor Estimation Method v1.6</t>
        </is>
      </c>
    </row>
  </sheetData>
  <mergeCells count="8">
    <mergeCell ref="B1:P1"/>
    <mergeCell ref="B2:P2"/>
    <mergeCell ref="B3:P3"/>
    <mergeCell ref="B5:B6"/>
    <mergeCell ref="C5:C6"/>
    <mergeCell ref="D5:J5"/>
    <mergeCell ref="K5:Q5"/>
    <mergeCell ref="R5:R6"/>
  </mergeCells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표지</vt:lpstr>
      <vt:lpstr>견적서</vt:lpstr>
      <vt:lpstr>산출내역서</vt:lpstr>
      <vt:lpstr>부대비용</vt:lpstr>
      <vt:lpstr>_stec_data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㈜에스텍시스템</dc:creator>
  <dc:title/>
  <dc:subject/>
  <dc:description/>
  <cp:keywords/>
  <cp:category/>
  <cp:lastModifiedBy>Unknown</cp:lastModifiedBy>
  <dcterms:created xsi:type="dcterms:W3CDTF">2026-10-20T22:35:57Z</dcterms:created>
  <dcterms:modified xsi:type="dcterms:W3CDTF">2026-10-20T22:35:57Z</dcterms:modified>
</cp:coreProperties>
</file>